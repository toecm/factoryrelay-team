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urrent Status" sheetId="2" r:id="rId2"/>
    <sheet name="Team" sheetId="3" r:id="rId3"/>
    <sheet name="Backlog" sheetId="4" r:id="rId4"/>
    <sheet name="Story Details" sheetId="5" r:id="rId5"/>
    <sheet name="Tasks" sheetId="6" r:id="rId6"/>
    <sheet name="Sprints" sheetId="7" r:id="rId7"/>
    <sheet name="Checklists" sheetId="8" r:id="rId8"/>
    <sheet name="Course Evidence" sheetId="9" r:id="rId9"/>
    <sheet name="Literature" sheetId="10" r:id="rId10"/>
    <sheet name="Search Log" sheetId="11" r:id="rId11"/>
    <sheet name="Evaluation" sheetId="12" r:id="rId12"/>
    <sheet name="Risks" sheetId="13" r:id="rId13"/>
    <sheet name="References" sheetId="14" r:id="rId14"/>
  </sheets>
  <definedNames>
    <definedName name="_xlnm._FilterDatabase" localSheetId="3" hidden="1">Backlog!$A$4:$M$26</definedName>
    <definedName name="_xlnm._FilterDatabase" localSheetId="7" hidden="1">Checklists!$A$4:$E$31</definedName>
    <definedName name="_xlnm._FilterDatabase" localSheetId="8" hidden="1">'Course Evidence'!$A$4:$E$9</definedName>
    <definedName name="_xlnm._FilterDatabase" localSheetId="1" hidden="1">'Current Status'!$A$4:$E$12</definedName>
    <definedName name="_xlnm._FilterDatabase" localSheetId="11" hidden="1">Evaluation!$A$4:$E$8</definedName>
    <definedName name="_xlnm._FilterDatabase" localSheetId="9" hidden="1">Literature!$A$4:$M$18</definedName>
    <definedName name="_xlnm._FilterDatabase" localSheetId="13" hidden="1">References!$A$4:$C$15</definedName>
    <definedName name="_xlnm._FilterDatabase" localSheetId="12" hidden="1">Risks!$A$4:$E$11</definedName>
    <definedName name="_xlnm._FilterDatabase" localSheetId="10" hidden="1">'Search Log'!$A$4:$H$14</definedName>
    <definedName name="_xlnm._FilterDatabase" localSheetId="6" hidden="1">Sprints!$A$4:$F$10</definedName>
    <definedName name="_xlnm._FilterDatabase" localSheetId="4" hidden="1">'Story Details'!$A$4:$E$26</definedName>
    <definedName name="_xlnm._FilterDatabase" localSheetId="5" hidden="1">Tasks!$A$4:$J$87</definedName>
    <definedName name="Members">'Team'!$A$5:$A$7</definedName>
    <definedName name="_xlnm.Print_Area" localSheetId="0">'Start Here'!$A$1:$G$20</definedName>
    <definedName name="_xlnm.Print_Area" localSheetId="2">Team!$A$1:$H$18</definedName>
    <definedName name="_xlnm.Print_Titles" localSheetId="3">Backlog!$4:$4</definedName>
    <definedName name="_xlnm.Print_Titles" localSheetId="7">Checklists!$4:$4</definedName>
    <definedName name="_xlnm.Print_Titles" localSheetId="8">'Course Evidence'!$4:$4</definedName>
    <definedName name="_xlnm.Print_Titles" localSheetId="1">'Current Status'!$4:$4</definedName>
    <definedName name="_xlnm.Print_Titles" localSheetId="11">Evaluation!$4:$4</definedName>
    <definedName name="_xlnm.Print_Titles" localSheetId="9">Literature!$4:$4</definedName>
    <definedName name="_xlnm.Print_Titles" localSheetId="13">References!$4:$4</definedName>
    <definedName name="_xlnm.Print_Titles" localSheetId="12">Risks!$4:$4</definedName>
    <definedName name="_xlnm.Print_Titles" localSheetId="10">'Search Log'!$4:$4</definedName>
    <definedName name="_xlnm.Print_Titles" localSheetId="6">Sprints!$4:$4</definedName>
    <definedName name="_xlnm.Print_Titles" localSheetId="4">'Story Details'!$4:$4</definedName>
    <definedName name="_xlnm.Print_Titles" localSheetId="5">Tasks!$4:$4</definedName>
  </definedNames>
  <calcPr calcId="124519" fullCalcOnLoad="1"/>
</workbook>
</file>

<file path=xl/sharedStrings.xml><?xml version="1.0" encoding="utf-8"?>
<sst xmlns="http://schemas.openxmlformats.org/spreadsheetml/2006/main" count="1424" uniqueCount="731">
  <si>
    <t>Factory Relay · choose work together</t>
  </si>
  <si>
    <t>Baseline</t>
  </si>
  <si>
    <t>See Current Status: standalone game and GitHub/HF/Vercel publication are complete. Physical LAN acceptance and translation/training remain work to do.</t>
  </si>
  <si>
    <t>Planning assumption</t>
  </si>
  <si>
    <t>Six two-week sprints. Set capacity and names in Team. Dates are relative and editable; estimates are not commitments.</t>
  </si>
  <si>
    <t>How to start</t>
  </si>
  <si>
    <t>Filter Backlog by Ready and the proposed Sprint Goal. Read Story Details, select a Task, then enter Owner and a different Reviewer.</t>
  </si>
  <si>
    <t>Board rule</t>
  </si>
  <si>
    <t>At most one active task per member and three in progress across the team. Reviewers help finish work before more is started.</t>
  </si>
  <si>
    <t>Editing</t>
  </si>
  <si>
    <t>Teal cells are intended inputs. Forecast Sprint is a suggestion; add actual sprint selection in task notes or revise the forecast at Planning.</t>
  </si>
  <si>
    <t>Dependencies</t>
  </si>
  <si>
    <t>Story dependencies are manual readiness gates. Validate them before marking Ready. A blocked optional story does not block independent core work.</t>
  </si>
  <si>
    <t>Task vs story</t>
  </si>
  <si>
    <t>Ticking tasks does not auto-complete a story. Mark the story Done only after all acceptance criteria, review and evidence are satisfied.</t>
  </si>
  <si>
    <t>Estimates</t>
  </si>
  <si>
    <t>Draft story points are relative sizes. Task-hour estimates are blank for the team. Never sum points and hours or use points as individual grades.</t>
  </si>
  <si>
    <t>Training</t>
  </si>
  <si>
    <t>ENG1 attempts feasibility early. ENG7/ENG8 require genuine local weight updates and validation. Failed feasibility leaves training unachieved, with evidence.</t>
  </si>
  <si>
    <t>Merged items</t>
  </si>
  <si>
    <t>Research draft R05 is covered by ENG1/ENG2/ENG10. R07 is covered by ENG7/ENG8 and optional B3 in R06. Do not count duplicate work.</t>
  </si>
  <si>
    <t>Evidence</t>
  </si>
  <si>
    <t>41 unit/integration and 114 live Vercel browser checks passed. Earlier 32 LAN checks used browser contexts, not physical devices. Language/pilot outcomes remain unmeasured.</t>
  </si>
  <si>
    <t>Documents</t>
  </si>
  <si>
    <t>Companion: Factory_Relay_Team_Implementation_Plan.pdf / .docx. CSV exports are included for task-tool import; no external boards were created.</t>
  </si>
  <si>
    <t>Root and sharing</t>
  </si>
  <si>
    <t>FactoryRelay is the source root; research/team-plan holds this plan. Research documents are local-only. Agree the team sharing route in ENG0.</t>
  </si>
  <si>
    <t>Access</t>
  </si>
  <si>
    <t>GitHub and HF Space are private; dataset and Vercel game are public. One teammate invitation was reported completed; confirm all three setups in ENG0.</t>
  </si>
  <si>
    <t>Core stories Done</t>
  </si>
  <si>
    <t>All active tasks</t>
  </si>
  <si>
    <t>Completed baseline</t>
  </si>
  <si>
    <t>Current Status records eight existing-work items. The ordered Backlog contains remaining research work; none is marked Done merely because the base game is published.</t>
  </si>
  <si>
    <t>Factory Relay · verified baseline and boundaries</t>
  </si>
  <si>
    <t>Snapshot: 21 October 2026. Existing-work evidence is separate from future-story completion and measured research effectiveness.</t>
  </si>
  <si>
    <t>ID</t>
  </si>
  <si>
    <t>Existing item</t>
  </si>
  <si>
    <t>Current status</t>
  </si>
  <si>
    <t>Limit / remaining work</t>
  </si>
  <si>
    <t>BASE01</t>
  </si>
  <si>
    <t>Problem establishment for smart factory</t>
  </si>
  <si>
    <t>Complete (team-reported)</t>
  </si>
  <si>
    <t>User confirmed this course stage was completed.</t>
  </si>
  <si>
    <t>Attach the approved problem sheet; no independent supervisor approval record is claimed.</t>
  </si>
  <si>
    <t>BASE02</t>
  </si>
  <si>
    <t>Standalone communication game</t>
  </si>
  <si>
    <t>Implemented and checked</t>
  </si>
  <si>
    <t>Six fictional scenarios, Operator/Maintenance roles, typed messages, guided check-back, animations, pass-and-play, paired tabs and JSON export. 41 unit/integration tests and 114 live Vercel browser checks passed.</t>
  </si>
  <si>
    <t>Software behavior is verified; no translation-quality or participant-effectiveness result is established.</t>
  </si>
  <si>
    <t>BASE03</t>
  </si>
  <si>
    <t>Local-network multiplayer</t>
  </si>
  <si>
    <t>Implemented; physical acceptance pending</t>
  </si>
  <si>
    <t>Node HTTPS host and polling; earlier 32 LAN checks used two isolated browser contexts.</t>
  </si>
  <si>
    <t>Physical devices, WAN-disconnected setup and target networks still need ENG2/ENG10 evidence. Host must remain running; no offline service worker.</t>
  </si>
  <si>
    <t>BASE04</t>
  </si>
  <si>
    <t>Independent GitHub source and CI</t>
  </si>
  <si>
    <t>Published; private</t>
  </si>
  <si>
    <t>https://github.com/toecm/factoryrelay ; standalone source, tests, guides and passing GitHub checks.</t>
  </si>
  <si>
    <t>One teammate invitation was reported completed. Acceptance and all three members' access/environment setup remain unverified (ENG0).</t>
  </si>
  <si>
    <t>BASE05</t>
  </si>
  <si>
    <t>Hugging Face Static Space</t>
  </si>
  <si>
    <t>https://huggingface.co/spaces/toecm/FactoryRelay ; runtime RUNNING and deployed assets verified on 21 October.</t>
  </si>
  <si>
    <t>Personal-account private Space access is separate from GitHub access. Owner handles Space publication; no model runtime or internet room server is hosted.</t>
  </si>
  <si>
    <t>BASE06</t>
  </si>
  <si>
    <t>Companion scenario dataset</t>
  </si>
  <si>
    <t>Published; public</t>
  </si>
  <si>
    <t>https://huggingface.co/datasets/toecm/factoryrelay ; six authored fictional English scenarios with schema, manifest and verified file hashes.</t>
  </si>
  <si>
    <t>Contains answer keys and both roles' facts. Not a dialect corpus, participant dataset or independent benchmark; no automatic conversation upload.</t>
  </si>
  <si>
    <t>BASE07</t>
  </si>
  <si>
    <t>Vercel production game</t>
  </si>
  <si>
    <t>Live; public</t>
  </si>
  <si>
    <t>https://factoryrelay.vercel.app/ ; existing GitHub integration deploys the project. 114 checks covered desktop/mobile layout, gameplay, export, paired tabs and animation; zero browser errors.</t>
  </si>
  <si>
    <t>No local Vercel login is needed for the established Git deployment path. Review each deployment outcome; separate Vercel account access is not granted by a GitHub invitation.</t>
  </si>
  <si>
    <t>BASE08</t>
  </si>
  <si>
    <t>Dedicated research folder</t>
  </si>
  <si>
    <t>Organized locally</t>
  </si>
  <si>
    <t>research/ contains proposals, presentations, background, reports/manual, team plan, screenshots and historical migration evidence. 159 files were moved with hash verification.</t>
  </si>
  <si>
    <t>Research files remain excluded from web packages and GitHub. Historical report/manual describe 13 October, not the new research extension.</t>
  </si>
  <si>
    <t>Team and capacity · replace the draft inputs</t>
  </si>
  <si>
    <t>All three contribute to research and implementation. PO/SM are additional accountabilities; task ownership stays self-selected.</t>
  </si>
  <si>
    <t>Member name</t>
  </si>
  <si>
    <t>Hours / week</t>
  </si>
  <si>
    <t>Weeks / sprint</t>
  </si>
  <si>
    <t>Meeting hours / sprint</t>
  </si>
  <si>
    <t>Available delivery hours</t>
  </si>
  <si>
    <t>Accountability</t>
  </si>
  <si>
    <t>Current focus</t>
  </si>
  <si>
    <t>Notes</t>
  </si>
  <si>
    <t>Member 1</t>
  </si>
  <si>
    <t>Choose at kickoff</t>
  </si>
  <si>
    <t>Member 2</t>
  </si>
  <si>
    <t>Member 3</t>
  </si>
  <si>
    <t>Uncertainty reserve</t>
  </si>
  <si>
    <t>Team hours after meetings</t>
  </si>
  <si>
    <t>Sprint delivery budget</t>
  </si>
  <si>
    <t>Default meeting allowance: about 4.4 hours per member per sprint for daily 15-minute Scrums and the suggested planning/review/retrospective/refinement. Use actual course availability. These are hours, not points.</t>
  </si>
  <si>
    <t>Select one Product Owner and a different Scrum Master; all three remain contributors. Keep accountability stable through a sprint. A task reviewer must not be its owner.</t>
  </si>
  <si>
    <t>Ordered Product Backlog</t>
  </si>
  <si>
    <t>Re-estimate before selection. Forecasts do not override capacity. Owner and reviewer are intentionally blank.</t>
  </si>
  <si>
    <t>Priority</t>
  </si>
  <si>
    <t>Professor criterion</t>
  </si>
  <si>
    <t>Title</t>
  </si>
  <si>
    <t>Type</t>
  </si>
  <si>
    <t>Draft pts</t>
  </si>
  <si>
    <t>Depends on</t>
  </si>
  <si>
    <t>Forecast</t>
  </si>
  <si>
    <t>Status</t>
  </si>
  <si>
    <t>Owner</t>
  </si>
  <si>
    <t>Reviewer</t>
  </si>
  <si>
    <t>Evidence / link</t>
  </si>
  <si>
    <t>Gate / blocker</t>
  </si>
  <si>
    <t>ENG0</t>
  </si>
  <si>
    <t>Core</t>
  </si>
  <si>
    <t>Effectiveness; Outcomes</t>
  </si>
  <si>
    <t>Confirm three-member access and standalone workflow</t>
  </si>
  <si>
    <t>User story</t>
  </si>
  <si>
    <t>None</t>
  </si>
  <si>
    <t>S1</t>
  </si>
  <si>
    <t>Ready</t>
  </si>
  <si>
    <t>One GitHub invitation was reported completed; invitation acceptance and all three local environments still need evidence.</t>
  </si>
  <si>
    <t>R01</t>
  </si>
  <si>
    <t>Literature</t>
  </si>
  <si>
    <t>Build a traceable literature matrix</t>
  </si>
  <si>
    <t>Research</t>
  </si>
  <si>
    <t>Confirm reviewer/data access where required.</t>
  </si>
  <si>
    <t>ENG1</t>
  </si>
  <si>
    <t>Literature; Excellence / originality; Effectiveness</t>
  </si>
  <si>
    <t>Choose one reviewed language scope and prove the local runtime path</t>
  </si>
  <si>
    <t>Spike</t>
  </si>
  <si>
    <t>Ready for selection; synthetic data only until the research-data protocol is ready.</t>
  </si>
  <si>
    <t>ENG2</t>
  </si>
  <si>
    <t>Effectiveness</t>
  </si>
  <si>
    <t>Validate the existing LAN game on two physical devices</t>
  </si>
  <si>
    <t>Validation</t>
  </si>
  <si>
    <t>Backlog</t>
  </si>
  <si>
    <t>Now, when two devices and a router/hotspot are available</t>
  </si>
  <si>
    <t>R02</t>
  </si>
  <si>
    <t>Literature; Excellence / originality; Outcomes</t>
  </si>
  <si>
    <t>Test the contribution against the closest work</t>
  </si>
  <si>
    <t>S2</t>
  </si>
  <si>
    <t>R03</t>
  </si>
  <si>
    <t>Effectiveness; Excellence / originality</t>
  </si>
  <si>
    <t>Freeze a text-first evaluation and data protocol</t>
  </si>
  <si>
    <t>R01, ENG1</t>
  </si>
  <si>
    <t>ENG4</t>
  </si>
  <si>
    <t>Excellence / originality; Effectiveness</t>
  </si>
  <si>
    <t>Install and verify an offline text model pack</t>
  </si>
  <si>
    <t>After the runtime feasibility decision</t>
  </si>
  <si>
    <t>ENG3</t>
  </si>
  <si>
    <t>Offer per-device consent and a local text-capture vault</t>
  </si>
  <si>
    <t>ENG1, R03</t>
  </si>
  <si>
    <t>After the retention and device decisions in ENG1</t>
  </si>
  <si>
    <t>R04</t>
  </si>
  <si>
    <t>Literature; Effectiveness; Outcomes</t>
  </si>
  <si>
    <t>Create a bounded reviewed corpus with protected splits</t>
  </si>
  <si>
    <t>S3</t>
  </si>
  <si>
    <t>ENG5</t>
  </si>
  <si>
    <t>Display original and locally translated text during one game round</t>
  </si>
  <si>
    <t>ENG3, ENG4</t>
  </si>
  <si>
    <t>After local capture controls and one working model pack</t>
  </si>
  <si>
    <t>ENG9</t>
  </si>
  <si>
    <t>Excellence / originality; Effectiveness; Outcomes</t>
  </si>
  <si>
    <t>Create analysis-ready exports and matched evaluation fixtures</t>
  </si>
  <si>
    <t>ENG1, ENG2, R03, R04</t>
  </si>
  <si>
    <t>After language scope and physical baseline validation; does not wait for training</t>
  </si>
  <si>
    <t>ENG6</t>
  </si>
  <si>
    <t>Review corrections and retrieve approved local examples</t>
  </si>
  <si>
    <t>S4</t>
  </si>
  <si>
    <t>After the first translation slice</t>
  </si>
  <si>
    <t>ENG7</t>
  </si>
  <si>
    <t>Conditional</t>
  </si>
  <si>
    <t>Run opt-in post-session LoRA training on one eligible laptop</t>
  </si>
  <si>
    <t>ENG1, ENG4, ENG6, R04</t>
  </si>
  <si>
    <t>After reviewed examples and a verified training-capable profile</t>
  </si>
  <si>
    <t>ENG8</t>
  </si>
  <si>
    <t>Evaluate an adapter before activation and support rollback</t>
  </si>
  <si>
    <t>ENG7, R03, R04</t>
  </si>
  <si>
    <t>S5</t>
  </si>
  <si>
    <t>After an actual adapter artifact exists</t>
  </si>
  <si>
    <t>R06</t>
  </si>
  <si>
    <t>Effectiveness; Excellence / originality; Outcomes</t>
  </si>
  <si>
    <t>Compare frozen, glossary and local-memory conditions</t>
  </si>
  <si>
    <t>R03, R04, ENG6, ENG9</t>
  </si>
  <si>
    <t>Core evaluation does not depend on training. If B3 is included, ENG8 must finish before final-test configuration freeze.</t>
  </si>
  <si>
    <t>R08</t>
  </si>
  <si>
    <t>Run a consented exploratory UX and task pilot</t>
  </si>
  <si>
    <t>R03, ENG2, ENG5, ENG6, ENG9</t>
  </si>
  <si>
    <t>R09</t>
  </si>
  <si>
    <t>Produce reproducible effectiveness and limitations analysis</t>
  </si>
  <si>
    <t>R06, R08</t>
  </si>
  <si>
    <t>S6</t>
  </si>
  <si>
    <t>ENG10</t>
  </si>
  <si>
    <t>Demonstrate the integrated workflow with internet disabled</t>
  </si>
  <si>
    <t>ENG2, ENG5, ENG6, ENG9</t>
  </si>
  <si>
    <t>After text/memory integration and evaluation exports; the training segment additionally needs ENG7 and ENG8</t>
  </si>
  <si>
    <t>R10</t>
  </si>
  <si>
    <t>Literature; Excellence / originality; Effectiveness; Outcomes</t>
  </si>
  <si>
    <t>Deliver a paper-ready artifact and invention-review package</t>
  </si>
  <si>
    <t>Documentation</t>
  </si>
  <si>
    <t>R01, R02, R09, ENG10</t>
  </si>
  <si>
    <t>R11</t>
  </si>
  <si>
    <t>Excellence / originality; Outcomes</t>
  </si>
  <si>
    <t>Prepare an invention-review brief if the evidence supports one</t>
  </si>
  <si>
    <t>Only if the team wants the patent route and R02 identifies a concrete candidate mechanism. The game and scenario dataset are already public; document that disclosure before seeking qualified review of a future contribution.</t>
  </si>
  <si>
    <t>ENG11</t>
  </si>
  <si>
    <t>Stretch</t>
  </si>
  <si>
    <t>Add a bounded local voice input experiment</t>
  </si>
  <si>
    <t>ENG3, ENG4, ENG5, ENG9</t>
  </si>
  <si>
    <t>Only after core text delivery, selected speech-model feasibility and explicit microphone/privacy review</t>
  </si>
  <si>
    <t>ENG12</t>
  </si>
  <si>
    <t>Demonstrate a guarded laboratory action if hardware is approved</t>
  </si>
  <si>
    <t>ENG2, ENG5, ENG9</t>
  </si>
  <si>
    <t>Only with available test hardware, laboratory-supervisor authorization and an approved test procedure</t>
  </si>
  <si>
    <t>User stories and acceptance criteria</t>
  </si>
  <si>
    <t>A story is Done only when its acceptance criteria have evidence and a different member has reviewed them.</t>
  </si>
  <si>
    <t>User story / value</t>
  </si>
  <si>
    <t>Acceptance criteria</t>
  </si>
  <si>
    <t>Deliverable</t>
  </si>
  <si>
    <t>Risk / boundary</t>
  </si>
  <si>
    <t>As a teammate, I want my own account and a reproducible local setup so I can choose a task, contribute a reviewed change and verify its deployment.</t>
  </si>
  <si>
    <t>1. Each member confirms access to toecm/factoryrelay through their own GitHub account and records a successful clone/install/test/build on their computer.
2. Use FactoryRelay as the project root. Confirm the research folder is local-only and agree an approved sharing location for course documents without participant data or credentials.
3. Agree branch and pull-request review conventions; record one reviewed change and check its GitHub CI and Vercel deployment result. Do not assume a GitHub invitation grants Vercel or private Space access.
4. Record who publishes the private personal-account Space and public fictional dataset. Keep present visibility and owner-managed publication; no new account-sharing or automatic data upload.</t>
  </si>
  <si>
    <t>Three-member access/setup checklist; reviewed contribution evidence; project-path and publishing responsibilities note.</t>
  </si>
  <si>
    <t>Private GitHub access does not grant private Space or Vercel access. Deployment restrictions and local setup differences can delay a new contributor.</t>
  </si>
  <si>
    <t>As a student researcher, I want a reproducible search and critical evidence matrix so our design choices can be checked against previous work.</t>
  </si>
  <si>
    <t>1. Search log records search date, databases/sites, exact queries, filters and inclusion/exclusion rules; screen peer-reviewed/primary technical work, including local translation/adaptation, retrieval/personalization, human clarification and industrial communication simulation.
2. Start from proposal citations but verify bibliographic fields and actual claimed findings against the original sources. Unverifiable citations stay flagged and are excluded from evidence claims.
3. By the end of Sprint 1, include at least eight directly relevant primary papers/systems with source, task/languages, data/split, baseline, method, metrics, limitations and availability/license. Continue refinement in R02 toward 12 screened items; if fewer qualify, document the search rather than add weak matches.
4. Second team member checks at least 4 included studies and every study used to justify the closest-work or novelty comparison.</t>
  </si>
  <si>
    <t>Literature matrix CSV/XLSX
Search log and screening counts
Verified bibliography</t>
  </si>
  <si>
    <t>This is a scoped course review, not a claim that every paper or patent has been found. Do not compare raw scores across different datasets as if ranked on the same test.</t>
  </si>
  <si>
    <t>As a pilot participant, I want a declared source-to-target language or variety pair and a tested device profile so that supported translation is based on evidence rather than an unrestricted language selector.</t>
  </si>
  <si>
    <t>1. Record the first translation direction, task vocabulary, named reviewer role/availability and intended language-variety coverage. Distinguish speaker-reviewed regional usage from company jargon and code-switching.
2. Benchmark a small, predeclared development set on the actual initial devices; record checkpoint/runtime/license, peak memory, latency, loading time and example operational-field errors. Agree numerical latency/memory targets before the final acceptance run; do not invent a passed quality threshold.
3. Demonstrate one offline inference request through the proposed device-local companion connection, including the browser/HTTPS/CSP boundary, with outside-network requests blocked. Record one feasible local integration route or a clear failed feasibility gate.
4. Name at least one laptop eligible for a training experiment and the second device's supported inference mode. Record minimum reviewed-data requirements and resource checks for training; an unsupported phone has an explicit original-text/clarification path. Timebox the spike to eight team hours; attempt one tiny adapter update on synthetic data where compatible. Record actual changed-weight evidence or a failed gate, not a promised future capability.</t>
  </si>
  <si>
    <t>Capability matrix, model/license record, benchmark CSV and one local-only request trace.</t>
  </si>
  <si>
    <t>No available model handles the selected variety adequately, no reviewer is available, or local runtime/security constraints exceed device capacity. Narrow the declared pilot or change the measured device profile; do not silently relabel a different task as dialect support.</t>
  </si>
  <si>
    <t>As a classroom pair, I want the current room to work on our actual devices without internet so that the known browser prototype is ready to receive translation features.</t>
  </si>
  <si>
    <t>1. From the standalone FactoryRelay root, use the existing launcher on two physical devices to verify the host's local certificate, create/join a room, complete a round and export with the router WAN link disconnected; save device/browser/network details. The previous browser-context checks do not satisfy this acceptance condition.
2. Repeat the basic round on the intended hotspot with internet access disabled while local peer communication remains available. Record a hotspot's isolation restriction as a failed configuration, not as a passed offline test.
3. Interrupt one device, reconnect in its original tab and retry an uncertain action; verify no duplicate decision/message, no role takeover and correct held-versus-executed reporting.
4. Record host-stop and restart behavior accurately: shared actions pause, RAM rooms are lost on restart, and a separate loaded pass-and-play session does not restore the LAN room.</t>
  </si>
  <si>
    <t>Signed physical-device checklist, configuration matrix, export files and defect/retest record.</t>
  </si>
  <si>
    <t>Institutional Wi-Fi isolation, certificate restrictions or phone background suspension can prevent the demonstration despite passing simulated-browser checks.</t>
  </si>
  <si>
    <t>As the team, we want to identify the closest existing systems so our originality claim is specific, testable and appropriately limited.</t>
  </si>
  <si>
    <t>1. Choose 3-5 closest prior systems using explicit criteria: task, human-review loop, adaptation mechanism, on-device execution and evaluation setting.
2. Feature/evidence table distinguishes already-known components from the proposed combination and any untested mechanism; absence of a feature in a paper is labeled 'not reported' unless verified.
3. Write one primary novelty hypothesis and one fallback contribution (e.g. a reproducible operational-semantics benchmark or local adaptation evaluation). Specify what experiment could refute each.
4. Log a bounded prior-art search over relevant patent databases using keywords and classifications; record dates, queries, identifiers/families, potentially overlapping technical features and search limitations.
5. Prepare a questions-and-evidence brief for supervisor/technology-transfer review. Do not label the idea patentable or claim exhaustive clearance. Include an inventory and dates of the already public game and fictional dataset so institutional reviewers can assess actual disclosure history; do not state that all material is still private.
6. Update the verified literature matrix toward 12 relevant items while checking all closest-work claims. Record database/search date and boundaries; this is not an exhaustive patent search.</t>
  </si>
  <si>
    <t>Closest-work comparison table
One-page contribution hypothesis
Prior-art search log and institutional-review questions</t>
  </si>
  <si>
    <t>A hypothesis could be: verified local retrieval reduces critical meaning errors versus the same frozen model on unseen factory-context variants at an acceptable local cost. This is an experimental hypothesis, not established novelty.</t>
  </si>
  <si>
    <t>As an evaluator, I want agreed conditions, labels and data boundaries before collecting results so the comparison is fair and repeatable.</t>
  </si>
  <si>
    <t>1. Protocol fixes one source/target variety pair, translation direction(s), primary operational task, model-selection criteria, intended devices and what counts as a critical error.
2. Predefine B0/B1/B2 and optional B3, the fixed guided/original-message UI condition, held-out split rules, adaptation timing, primary/secondary metrics and analysis unit.
3. Rubric covers equipment, action, negation, quantity/unit, condition and timing, plus unsupported additions. Include at least 12 labeled examples and source-uncertainty cases. Use development examples for rubric practice. Declare message-level any-critical-error rate primary and per-field errors diagnostic; keep the final test out of rubric tuning.
4. Document participant information/consent, recording choices, withdrawal/retention/deletion and host visibility; confirm whether the institution requires review before recruitment or research-data collection.
5. Both a workflow reviewer and a competent bilingual/target-variety reviewer approve the relevant parts; no unqualified reviewer is treated as language ground truth.</t>
  </si>
  <si>
    <t>Versioned evaluation protocol
Annotation rubric
Consent and data-handling materials
Scope/readiness decision</t>
  </si>
  <si>
    <t>Separate usability questions from efficacy questions. An inability to recruit reviewers is a gate to narrowing or postponing language-quality claims.</t>
  </si>
  <si>
    <t>As a supported-device user, I want a verified local model pack and readiness status so that translation does not unexpectedly depend on internet access.</t>
  </si>
  <si>
    <t>1. A versioned manifest identifies the checkpoint, tokenizer, runtime, license, hashes, sizes and supported profile. The app distinguishes the quantized inference artifact from any later training checkpoint.
2. After one explicit provisioning step, verify/reuse local artifacts and run a fixed test translation with internet blocked. Readiness reports missing, corrupt or incompatible resources and offers setup guidance; it never silently calls a cloud model.
3. The device-local companion is reachable only through the approved local connection with scoped authorization/origin checks; the isolated LAN shell does not gain unrestricted external access.
4. Interruption or a bad checksum leaves the last usable pack intact, and the user can select or remove a pack without corrupting saved game records.</t>
  </si>
  <si>
    <t>Pack manifest, reproducible provision/start commands, request trace and measured resource log.</t>
  </si>
  <si>
    <t>Large artifacts, incompatible quantization/runtime versions or browser-to-local-companion restrictions can consume the sprint. Split packaging/readiness from runtime integration if the team cannot deliver one usable profile within the sprint.</t>
  </si>
  <si>
    <t>As a player, I want to choose whether my own device retains examples for review or training so that playing the game does not automatically create a personal training corpus.</t>
  </si>
  <si>
    <t>1. Before optional persistent capture, show separate choices for gameplay sharing, local example retention and later training. Refusal still permits ordinary play. Explain that the host and recipient already receive shared chat; local deletion cannot revoke their copies or exports.
2. On each supported device, store only explicitly retained text records in its local vault with source wording, consent/provenance and review status. Capture defaults off; user-private examples are excluded from room messages and shared exports.
3. Provide inspect, keep/delete and bulk-delete controls. For the supported laptop vault, use the chosen OS-backed key storage/encryption path and verify locked/unavailable-key behavior without exposing plaintext in logs.
4. Test that restarting the room host neither uploads nor merges the players' private corpora and that unretained examples are not added to the training queue.</t>
  </si>
  <si>
    <t>Consent screenshots, storage/data-flow checklist and deletion/refusal regression results.</t>
  </si>
  <si>
    <t>The current room/browser state already contains shared text; misleading local-only claims would obscure those copies. OS key-storage behavior also differs across device profiles.</t>
  </si>
  <si>
    <t>As an evaluator, I want reviewed operational messages and matched unseen variants so adaptation is measured on new material rather than memorized answers.</t>
  </si>
  <si>
    <t>1. Planning target is 120 short operational utterances across three selected risks: negation, quantity/unit and conditional sequence. Use independent base-case families with reviewed variants; retain all six game scenarios but restrict new linguistic annotation to these three risks. Team confirms workload in Sprint 1 and documents any reduction before testing.
2. Target split is 60 adaptation/training, 20 development and 40 final-test records. Assign whole base-case families, paraphrase/translation clusters and author/session groups before adaptation; do not split a base case between training and test. Exact counts may be adjusted to preserve groups, with the manifest explaining the change.
3. Every record has provenance, consent/license status, source/target variety, scenario-family/session ID, original text, speaker-confirmed intended meaning, reviewed target rendering and applicable slot labels.
4. At least all final-test records receive independent second review followed by adjudication; record agreement and disagreements instead of silently replacing labels.
5. Keep the final test hidden from model developers until the protocol/harness is frozen. Future game-session corrections are not ingested before their held-out evaluation.</t>
  </si>
  <si>
    <t>Locally stored reviewed corpus
Split/provenance manifest
Annotation agreement and adjudication record</t>
  </si>
  <si>
    <t>These small split sizes are for feasibility and exploratory comparisons; report counts and grouping, not a broad population guarantee. Synthetic prompts must be labeled and cannot substitute for dialect-speaker validation. For personal within-author adaptation, use earlier sessions for training and later held-out sessions for testing; explicitly state that authors overlap and do not claim unseen-speaker generalization. An unseen-speaker claim requires disjoint author/speaker groups in a separately feasible test. The current six-record public dataset is already published; this story creates a separate reviewed corpus. Publication of any new participant-derived records is a separate, consented decision and is not a task acceptance requirement.</t>
  </si>
  <si>
    <t>As a player receiving an unfamiliar message, I want the original and a clearly labelled local translation together so that I can verify details and ask for clarification before deciding.</t>
  </si>
  <si>
    <t>1. In one complete existing scenario, the receiving device translates a sent message for the selected, tested source-to-target pair and displays unchanged original text, generated rendering and its status/model identity.
2. The translation uses only the message and context visible to that participant; scenario answer IDs, hidden partner facts and scoring explanations are excluded from its request. Test this boundary directly.
3. Cancel, timeout, missing-pack and unsupported-profile cases keep the original available with clarification controls. Low certainty is presented as an explicit limitation or clarification prompt, not an uncalibrated accuracy percentage.
4. The scene, shared message ordering and deterministic decision scoring remain intact on both devices; measure the agreed latency/resource targets on the supported profile and retain failures in the report.</t>
  </si>
  <si>
    <t>Two-device round recording, bilingual example review, prompt-boundary test and latency/resource measurements.</t>
  </si>
  <si>
    <t>Fluent but incorrect output may obscure identifiers or negation. Both-visible text and clarification reduce overreliance but do not establish translation quality.</t>
  </si>
  <si>
    <t>As a researcher, I want exports to identify the condition, transport and artifact versions so the frozen, glossary, memory and eligible adapter conditions can be compared reproducibly.</t>
  </si>
  <si>
    <t>1. Version the export schema and explicitly record transport kind, build/scenario version, pseudonymous session/device profile, selected language direction, model/runtime/pack version, memory/adapter version, inference location and test condition. Exclude bearer tokens and private training corpora by default.
2. Implement scenario-variant IDs and the split manifest specified by R03/R04. Validate that near-duplicates and answer keys cannot enter evaluation prompts. Retain the existing six teaching rounds as regression fixtures; R04 owns corpus annotation.
3. Record original output and reviewer-coded critical-field errors, unsupported additions, decision outcomes, clarification/resolution timing, inference latency and resource measures with definitions. Keep attempted wrong actions distinct from simulator blocks; describe elapsed-time interruption handling.
4. Implement and validate logging for B0 frozen, B1 fixed approved glossary, B2 retrieved reviewed memory and optional B3 memory plus adapter. A repeatable script validates the exports; R03 owns the protocol and R06 owns final comparison.</t>
  </si>
  <si>
    <t>Schema contract, split manifest, approved variants, frozen protocol and reproducible summary output.</t>
  </si>
  <si>
    <t>Repeated fixed scenarios, unequal context or reused correction examples can create apparent gains unrelated to better translation. Data collection also depends on reviewer/participant availability.</t>
  </si>
  <si>
    <t>As a speaker, I want to review wording and add approved examples to my own local memory so that later translations can use verified terminology without claiming that the model was retrained.</t>
  </si>
  <si>
    <t>1. After a session, selected retained examples can be kept, corrected, approved or deleted. The record separates original text, intended operational meaning and target rendering, with reviewer/provenance and selected language profile.
2. Only approved, consented examples enter the local retrieval index. Duplicate, withdrawn and unreviewed records are excluded; removing an example removes its retrieval availability.
3. A later translation can show the retrieved terminology/example provenance. The same frozen model can run with memory disabled or enabled for comparison; base/adapter weight hashes remain unchanged after memory-only updates.
4. Evaluation holdouts and simulator answer keys cannot enter the approved-memory source. Profiles reflect user selection and speaker review, not inferred demographic stereotypes.</t>
  </si>
  <si>
    <t>Reviewed example cards, memory-on/off prompt traces, index deletion tests and unchanged model-weight hashes.</t>
  </si>
  <si>
    <t>Reviewers can disagree or encode a wrong operational interpretation. Retrieval may propagate a bad correction; approval, provenance and easy deletion are required.</t>
  </si>
  <si>
    <t>As an eligible-laptop user, I want a genuine optional adapter-training job after review so that I can experiment with personal adaptation while ordinary play remains available without training.</t>
  </si>
  <si>
    <t>1. After each session, offer keep/delete, memory-only update, queue for later, or train only when the documented local capability/data gate passes. Training is opt-in, uses reviewed selected records and does not run during a live game.
2. On the one named eligible laptop, complete a local LoRA/PEFT job using the verified training checkpoint. Save configuration, dataset manifest, loss/run log and an adapter artifact; verify adapter weights actually changed while the frozen base remains unchanged.
3. Ineligible hardware, insufficient reviewed examples, power/storage limits or missing training files leave data queued with a clear reason. No phone-training claim is made without its own successful validation.
4. Cancellation, resource failure or host/network loss does not replace the active adapter or destroy the last validated model. The training job makes no outside-network request after provisioning.</t>
  </si>
  <si>
    <t>Eligibility report, approved-data manifest, changed-adapter/unchanged-base hashes, completed run log and failure-recovery checks.</t>
  </si>
  <si>
    <t>Small personal corpora may not support beneficial training, and the candidate model/runtime may exceed memory. Queueing is an honest supported result, but it must not be reported as successful retraining.</t>
  </si>
  <si>
    <t>As a user, I want a candidate adapter evaluated against the current configuration before activation so that a training job cannot silently worsen my operational translations.</t>
  </si>
  <si>
    <t>1. Compare the candidate with the same base, prompts and reviewed memory on development/promotion cases and a separate retention set. Check equipment ID, action, negation, quantity/unit and sequence. Keep the final research test untouched until R06; do not use final-test results to promote or tune an adapter.
2. Use an acceptance rule written before viewing candidate results, with a retention check on earlier skills. If the gate fails or evidence is insufficient, keep the previous configuration and explain the result.
3. An explicit user action can activate a passed candidate only between sessions. Reload its checkpoint after restart and verify adapter/base compatibility and recorded version IDs.
4. Rollback and delete controls restore the previous validated configuration, with a visible selection and audit record. Successful training is never equated with demonstrated improvement.</t>
  </si>
  <si>
    <t>Locked evaluation protocol, paired results, review decisions and activate/reload/rollback demonstration.</t>
  </si>
  <si>
    <t>A tiny or contaminated holdout may falsely favor the adapter. Keep claims at pilot scale and report uncertainty, contamination controls and reviewer disagreements.</t>
  </si>
  <si>
    <t>As a researcher, I want controlled ablations of the same model so any difference can be attributed to reviewed local information rather than changed models or hidden hints.</t>
  </si>
  <si>
    <t>1. One script reproduces B0 frozen/no local adaptation, B1 same model+approved fixed glossary and B2 same model+retrieved reviewed examples using a pinned configuration and identical source/context.
2. Use development data to fix prompt/retrieval parameters; log retrieved example IDs and verify no final-test family, answer key or future session appears in the context.
3. Evaluate the final test only after configuration freeze. Randomize/blind condition labels for bilingual reviewers; retain raw outputs, settings, timings and adjudicated labels.
4. Primary text measure: messages with any wrong/omitted required critical field or unsupported critical addition divided by evaluated messages. Also report per-field wrong/omitted counts and denominators, additions, adequacy, clarification behavior and resource cost; use the R03 criticality rubric.
5. If B2 is no better or worse, preserve that result and error analysis; do not select only successful examples or quietly retune on final-test outputs.
6. Include B3 only if ENG7/ENG8 have produced a compatible validated adapter before the final condition freeze. Record training configuration, duration, resources and retention; otherwise report B3 as not run. Never convert memory updates into a training result.</t>
  </si>
  <si>
    <t>Versioned evaluation runner/config
Blinded outputs and reviewer labels
Core ablation table and retrieval-leakage audit</t>
  </si>
  <si>
    <t>Keep guided check-back UI fixed while testing language support. Testing guided versus original UI simultaneously would confound the primary comparison unless explicitly designed as a separate factor.</t>
  </si>
  <si>
    <t>As the team, we want observation from actual users so we can identify misunderstandings and usability barriers that software checks cannot reveal.</t>
  </si>
  <si>
    <t>1. Target four consenting pairs (eight adults) suitable for the chosen language task; adjust the pilot size before recruitment if capacity changes. Record language familiarity and experience without unnecessary demographic inference. This is exploratory, not a powered efficacy trial.
2. Use 1-2 separate dry-run pairs or sessions to fix instructions before the pilot; exclude them from the frozen comparison and document changes.
3. Compare at most two stable conditions in this small pilot (e.g. B0 versus preselected B2) using matched, unseen scenario variants and balanced AB/BA order across pairs. Do not show the same answer fixture twice to a pair.
4. Collect task decision correctness, attempted wrong choices/held choices, tagged clarifications, completion times, assistance needed and a short comprehension/usability interview; record failures and withdrawals.
5. Analyze pair/session-level descriptive evidence and sequence effects. Do not present multiple messages from one pair as independent participants, or claim statistical efficacy from this small convenience sample.</t>
  </si>
  <si>
    <t>Pilot protocol/schedule
Consented local session records
Usability findings and task summary</t>
  </si>
  <si>
    <t>Do not use pilot participants' held-out session corrections to improve the condition being evaluated during that same comparison. Subsequent voluntary learning belongs to a later documented adaptation cycle.</t>
  </si>
  <si>
    <t>As a reviewer, I want transparent results and failure analysis so I can judge what the prototype demonstrates and what remains uncertain.</t>
  </si>
  <si>
    <t>1. Analysis script regenerates all tables/figures from versioned consented or shareable records; checks denominators, missing data, duplicate events and condition/build/transport labels.
2. Report core outcomes by condition and scenario skill, with raw counts and effect estimates; uncertainty calculations, if used, respect grouped families/pairs rather than treating correlated messages as independent.
3. Separate automated semantic corpus results, human task/usability observations, device feasibility and existing regression checks into distinct evidence tables.
4. Include disagreement/adjudication results, counterexamples, negative findings, retention if trained, recruitment/split limitations and any unmet planned milestone.
5. A second team member reproduces key numbers from the manifest and confirms every paper claim is supported by an artifact.</t>
  </si>
  <si>
    <t>Analysis scripts and generated figures
Results/limitations tables
Peer reproduction checklist</t>
  </si>
  <si>
    <t>A positive exploratory result motivates a larger study; it does not establish universal dialect coverage, industrial safety gains or publication acceptance.</t>
  </si>
  <si>
    <t>As a professor reviewing the project, I want a physical-device demonstration and evidence package showing which offline features actually work so that effectiveness claims match the implementation.</t>
  </si>
  <si>
    <t>1. After provisioning, cold-start the local host, local companions and browsers from installed files with WAN/internet disabled; complete a translated round on the two declared supported devices and export. Repeat the declared router/hotspot acceptance checks without relying on cached cloud responses.
2. Review a consented correction, update only its device's memory and show a subsequent retrieval-assisted translation. Verify the partner's private vault is not uploaded or merged.
3. If the training gate passed, complete the opt-in local training/evaluation/reload/rollback segment on the eligible laptop with internet disabled. Otherwise explicitly mark that milestone unmet and demonstrate queueing with the recorded reason; do not count it as passed training acceptance.
4. Publish screenshots/video, outside-network audit, device/resource measurements, regression results and a passed/failed/not-tested feature matrix. Updated manual/report and the paper-ready methods/results distinguish software behavior from measured language or participant benefit.</t>
  </si>
  <si>
    <t>Physical offline acceptance pack, feature matrix, demonstration recording and updated technical/user documents.</t>
  </si>
  <si>
    <t>A polished demo can conceal unsupported devices or unmeasured language quality. Retain failure evidence and a declared support matrix; keep the host-running requirement visible.</t>
  </si>
  <si>
    <t>As the project team, we want a complete, reviewable outcome package so the professor can assess literature, originality, effectiveness and research outputs.</t>
  </si>
  <si>
    <t>1. Deliver a supervisor-reviewable manuscript with research question, verified related work, implemented method, dataset/consent boundaries, experiments, results, limitations and contributor statement.
2. Provide a versioned reproducibility pack: source/build/model hashes, dependencies/configs, run instructions, analysis code, synthetic/shareable sample data and an access statement for private data. Never publish private participant records by default.
3. Update the FactoryRelay proposal/report and standalone manual under research/ so the published simulator and implemented LAN transport are clearly distinguished from local AI/hardware plans; align abstract, slides and demo with measured capabilities.
4. Link the R11 disclosure decision when applicable. Distinguish manuscript draft, submitted paper, accepted paper, disclosure, application and granted patent. No external submission or disclosure is authorized by completing this planning item.
5. Professor receives an evidence-to-criterion index, final demo recording/screenshots, team contribution log and an explicit submission-ready versus actually submitted/published status.</t>
  </si>
  <si>
    <t>Manuscript draft; reproducibility package; final slides/demo; criterion-to-evidence index; contributor record.</t>
  </si>
  <si>
    <t>A paper draft, submitted paper, accepted paper, disclosure, patent application and granted patent are distinct outcomes; label only what has occurred. No submission or external disclosure is implied by this planning story. Public browser code and the fictional dataset already exist even though the GitHub repository and personal Space are private. Record release dates/content for any invention review; do not infer patent eligibility, loss of rights or permission to disclose further material.</t>
  </si>
  <si>
    <t>As the team, I want a specific technical mechanism and its closest overlaps reviewed so any patent route is based on evidence and compatible with publication plans.</t>
  </si>
  <si>
    <t>1. Document the mechanism, technical effect to test, closest paper/patent overlaps, contributors, dated design evidence and unresolved questions.
2. Prepare a factual invention disclosure or a recorded decision that the current evidence supports a research/artifact contribution rather than a patent claim.
3. Identify the university technology-transfer contact and request route; record the already-public game/dataset, dated versions and any proposed new disclosure for qualified review. No filing, grant or legal conclusion is promised.</t>
  </si>
  <si>
    <t>Invention-review brief or documented no-disclosure rationale; institutional-review questions.</t>
  </si>
  <si>
    <t>A combination of established methods may not be novel or patentable. A student search is bounded and cannot establish legal freedom to operate.</t>
  </si>
  <si>
    <t>As a consenting speaker on a supported device, I want a locally transcribed audio draft that I can correct before sharing so that voice can be tested without treating an ASR guess as the original message.</t>
  </si>
  <si>
    <t>1. On one declared device, explicit microphone consent enables local recording and offline ASR; preserve raw audio, ASR draft and user-corrected transcript as distinct consented records. Only the reviewed selected message is shared by default.
2. Extend the current LAN microphone/CSP restriction only through a deliberate narrow design; test permission refusal, recording stop, deletion and no outside-network audio transfer.
3. Use speaker-reviewed dialect-faithful references to report WER/CER plus critical operational-field errors and latency on the small declared set. Any synthetic noise trial is labelled separately from real factory recordings.
4. If the speech model, consent or device gate fails, retain typed communication and report the voice experiment as not implemented or not validated. No speech-training or every-phone support claim follows from text LoRA.</t>
  </si>
  <si>
    <t>Voice capability record, consent/deletion tests and separate speech evaluation report.</t>
  </si>
  <si>
    <t>Audio increases privacy, storage, latency and dialect-evaluation demands; current LAN permissions intentionally disable microphones.</t>
  </si>
  <si>
    <t>As a laboratory supervisor, I want a tightly restricted, human-confirmed action demonstration so that any physical extension remains separate from free-form model output and from claims of industrial deployment.</t>
  </si>
  <si>
    <t>1. Start with a mock or de-energized gateway for one allowlisted action. Model text remains a proposal; a human confirms a structured command and deterministic permissions/fresh-state checks authorize only that bounded action.
2. Before any energized rig demonstration, the laboratory supervisor approves the independent stop/interlock arrangement and test procedure. Verify rejection of wrong identifiers, stale state, duplicate requests, missing confirmation and network loss under that procedure.
3. Record attempted, rejected and executed actions separately. The controller's independent protections do not depend on translation correctness, the browser or a language model.
4. If hardware access or approval is unavailable, deliver the gateway/mock test evidence and explicitly retain the physical demonstration as unachieved. Do not describe OPC UA connectivity or passing mock tests as certified machine safety.</t>
  </si>
  <si>
    <t>Approved boundary/test sheet, mock gateway results and conditional supervised laboratory record.</t>
  </si>
  <si>
    <t>Hardware access, wiring, independent protective controls and approval can dominate the schedule; this milestone must not compromise completion of the reproducible text study.</t>
  </si>
  <si>
    <t>Task board · members pull work</t>
  </si>
  <si>
    <t>Choose one task at a time. Add hour estimates and a task-specific completion check during Planning. Story dependencies still apply.</t>
  </si>
  <si>
    <t>Task ID</t>
  </si>
  <si>
    <t>Story ID</t>
  </si>
  <si>
    <t>Task / checklist item</t>
  </si>
  <si>
    <t>Done when</t>
  </si>
  <si>
    <t>Est. hours</t>
  </si>
  <si>
    <t>Evidence / notes</t>
  </si>
  <si>
    <t>Blocker</t>
  </si>
  <si>
    <t>ENG0-T1</t>
  </si>
  <si>
    <t>Confirm all three members' GitHub invitation acceptance and individual repository access.</t>
  </si>
  <si>
    <t>Parent acceptance + specific evidence recorded at Planning</t>
  </si>
  <si>
    <t>ENG0-T2</t>
  </si>
  <si>
    <t>Clone the standalone repository on each member's computer; record Node version and install/test/build results.</t>
  </si>
  <si>
    <t>ENG0-T3</t>
  </si>
  <si>
    <t>Agree self-selected task, branch, pull-request and review workflow; verify CI and the deployment result of an approved change.</t>
  </si>
  <si>
    <t>ENG0-T4</t>
  </si>
  <si>
    <t>Document owner-managed HF publication and an approved way to share course documents; keep personal data and credentials out of repositories.</t>
  </si>
  <si>
    <t>R01-T1</t>
  </si>
  <si>
    <t>Agree three or four query families and source-selection rules.</t>
  </si>
  <si>
    <t>R01-T2</t>
  </si>
  <si>
    <t>Run searches and save citation records; remove duplicates.</t>
  </si>
  <si>
    <t>R01-T3</t>
  </si>
  <si>
    <t>Screen titles/abstracts/full texts with exclusion reasons.</t>
  </si>
  <si>
    <t>R01-T4</t>
  </si>
  <si>
    <t>Extract comparable evidence; mark missing data and non-comparable scores.</t>
  </si>
  <si>
    <t>R01-T5</t>
  </si>
  <si>
    <t>Peer-review a sample and correct the matrix.</t>
  </si>
  <si>
    <t>ENG1-T1</t>
  </si>
  <si>
    <t>Produce a source-linked model/runtime decision record and review the selected pair with a competent bilingual or target-community reviewer.</t>
  </si>
  <si>
    <t>ENG1-T2</t>
  </si>
  <si>
    <t>Run the device/inference integration spike using synthetic or approved development examples.</t>
  </si>
  <si>
    <t>ENG1-T3</t>
  </si>
  <si>
    <t>Publish the supported-profile matrix, initial evaluation split and go/no-go decisions for the later training story.</t>
  </si>
  <si>
    <t>ENG2-T1</t>
  </si>
  <si>
    <t>Prepare a one-page physical rehearsal checklist and test the certificate/address workflow without automation trust bypasses.</t>
  </si>
  <si>
    <t>ENG2-T2</t>
  </si>
  <si>
    <t>Execute router and hotspot runs; capture screenshots, JSON exports and any network-policy failures.</t>
  </si>
  <si>
    <t>ENG2-T3</t>
  </si>
  <si>
    <t>Fix only observed compatibility defects and rerun the affected existing suites.</t>
  </si>
  <si>
    <t>R02-T1</t>
  </si>
  <si>
    <t>Rank closest works and extract exact supporting passages/page numbers.</t>
  </si>
  <si>
    <t>R02-T2</t>
  </si>
  <si>
    <t>Compare adaptation lifecycle, privacy boundaries and evaluation against our actual implementation.</t>
  </si>
  <si>
    <t>R02-T3</t>
  </si>
  <si>
    <t>Search potentially overlapping patent disclosures at a scoped level.</t>
  </si>
  <si>
    <t>R02-T4</t>
  </si>
  <si>
    <t>Draft falsifiable contribution and distinguish research originality from a patent opinion.</t>
  </si>
  <si>
    <t>R02-T5</t>
  </si>
  <si>
    <t>Ask supervisor to review the selected contribution and remaining uncertainties.</t>
  </si>
  <si>
    <t>R03-T1</t>
  </si>
  <si>
    <t>Write research questions and success/failure interpretations without an assumed effect size.</t>
  </si>
  <si>
    <t>R03-T2</t>
  </si>
  <si>
    <t>Define critical slots and adjudication rules.</t>
  </si>
  <si>
    <t>R03-T3</t>
  </si>
  <si>
    <t>Specify split construction and prohibition on answer-key leakage.</t>
  </si>
  <si>
    <t>R03-T4</t>
  </si>
  <si>
    <t>Prepare consent/capture/retention materials.</t>
  </si>
  <si>
    <t>R03-T5</t>
  </si>
  <si>
    <t>Review and version-lock the protocol before the final test set is used.</t>
  </si>
  <si>
    <t>ENG4-T1</t>
  </si>
  <si>
    <t>Package the chosen runtime/tokenizer/inference files and their manifest; implement resumable or safely restartable provisioning.</t>
  </si>
  <si>
    <t>ENG4-T2</t>
  </si>
  <si>
    <t>Add local companion readiness/inference endpoints and the approved browser connection boundary.</t>
  </si>
  <si>
    <t>ENG4-T3</t>
  </si>
  <si>
    <t>Test cold local loading, corrupt/missing files, interruption and outside-network blocking.</t>
  </si>
  <si>
    <t>ENG3-T1</t>
  </si>
  <si>
    <t>Agree a minimal retention/consent schema and data-flow diagram for shared chat versus private examples.</t>
  </si>
  <si>
    <t>ENG3-T2</t>
  </si>
  <si>
    <t>Implement the smallest local text-vault API and consent/review controls in the existing UI.</t>
  </si>
  <si>
    <t>ENG3-T3</t>
  </si>
  <si>
    <t>Exercise refusal, deletion, reload and network/log inspection with two isolated device profiles.</t>
  </si>
  <si>
    <t>R04-T1</t>
  </si>
  <si>
    <t>Draft realistic variants from completed problem scope; do not reuse only the six public answer fixtures.</t>
  </si>
  <si>
    <t>R04-T2</t>
  </si>
  <si>
    <t>Obtain source-speaker wording and competent target-rendering review.</t>
  </si>
  <si>
    <t>R04-T3</t>
  </si>
  <si>
    <t>Assign group IDs and precommitted splits; run duplicate/paraphrase checks.</t>
  </si>
  <si>
    <t>R04-T4</t>
  </si>
  <si>
    <t>Annotate and adjudicate critical fields.</t>
  </si>
  <si>
    <t>R04-T5</t>
  </si>
  <si>
    <t>Create local data manifest and access/export controls.</t>
  </si>
  <si>
    <t>ENG5-T1</t>
  </si>
  <si>
    <t>Define the translation record/status schema and source/target selection limited to tested profiles.</t>
  </si>
  <si>
    <t>ENG5-T2</t>
  </si>
  <si>
    <t>Connect the receiving device's local inference service to an original-plus-rendering message component.</t>
  </si>
  <si>
    <t>ENG5-T3</t>
  </si>
  <si>
    <t>Run a bilingual-reviewed end-to-end round and failure/role-context regression checks.</t>
  </si>
  <si>
    <t>ENG9-T1</t>
  </si>
  <si>
    <t>Extend export/provenance metadata and write an analysis schema/validator with privacy defaults.</t>
  </si>
  <si>
    <t>ENG9-T2</t>
  </si>
  <si>
    <t>Implement variant/split identifiers and an annotation-file interface from R03/R04; avoid duplicating the corpus-authoring work.</t>
  </si>
  <si>
    <t>ENG9-T3</t>
  </si>
  <si>
    <t>Provide a schema-validation and summary smoke script; hand final ablation analysis to R06/R09.</t>
  </si>
  <si>
    <t>ENG6-T1</t>
  </si>
  <si>
    <t>Build the post-session correction/reviewer workflow on the local vault.</t>
  </si>
  <si>
    <t>ENG6-T2</t>
  </si>
  <si>
    <t>Implement a small, auditable retrieval index and an inference toggle using the same base model.</t>
  </si>
  <si>
    <t>ENG6-T3</t>
  </si>
  <si>
    <t>Check provenance, withdrawal and held-out contamination with reviewed development cases.</t>
  </si>
  <si>
    <t>ENG7-T1</t>
  </si>
  <si>
    <t>Implement and display the data/hardware readiness gate plus explicit post-session training consent.</t>
  </si>
  <si>
    <t>ENG7-T2</t>
  </si>
  <si>
    <t>Add a reproducible local adapter-training command/job runner with cancellation and checkpoint metadata.</t>
  </si>
  <si>
    <t>ENG7-T3</t>
  </si>
  <si>
    <t>Exercise one successful training run and insufficient-data/resource/interruption paths on the measured laptop.</t>
  </si>
  <si>
    <t>ENG8-T1</t>
  </si>
  <si>
    <t>Build the development/retention comparison runner and review sheet; keep these cases out of training/retrieval and keep the final research test separate.</t>
  </si>
  <si>
    <t>ENG8-T2</t>
  </si>
  <si>
    <t>Implement candidate/active/previous adapter states, atomic promotion and compatibility checks.</t>
  </si>
  <si>
    <t>ENG8-T3</t>
  </si>
  <si>
    <t>Demonstrate one reject path, checkpoint reload and rollback even if no candidate improves.</t>
  </si>
  <si>
    <t>R06-T1</t>
  </si>
  <si>
    <t>Implement evaluation runner/interface against engineering endpoints.</t>
  </si>
  <si>
    <t>R06-T2</t>
  </si>
  <si>
    <t>Create identical-context condition templates and retrieval audit.</t>
  </si>
  <si>
    <t>R06-T3</t>
  </si>
  <si>
    <t>Use dev set to freeze settings and latency targets.</t>
  </si>
  <si>
    <t>R06-T4</t>
  </si>
  <si>
    <t>Generate blinded final-test batches for review.</t>
  </si>
  <si>
    <t>R06-T5</t>
  </si>
  <si>
    <t>Compute initial condition comparison and failure examples.</t>
  </si>
  <si>
    <t>R08-T1</t>
  </si>
  <si>
    <t>Recruit with approved information/consent materials.</t>
  </si>
  <si>
    <t>R08-T2</t>
  </si>
  <si>
    <t>Prepare matched task sets and counterbalanced condition schedule.</t>
  </si>
  <si>
    <t>R08-T3</t>
  </si>
  <si>
    <t>Rehearse exact instructions and device setup.</t>
  </si>
  <si>
    <t>R08-T4</t>
  </si>
  <si>
    <t>Run monitored sessions with agreed local capture/export.</t>
  </si>
  <si>
    <t>R08-T5</t>
  </si>
  <si>
    <t>Summarize usability issues and participant explanations without identifying details.</t>
  </si>
  <si>
    <t>R09-T1</t>
  </si>
  <si>
    <t>Clean/validate export schema and create data dictionary.</t>
  </si>
  <si>
    <t>R09-T2</t>
  </si>
  <si>
    <t>Compute condition/skill/pair summaries with appropriate grouping.</t>
  </si>
  <si>
    <t>R09-T3</t>
  </si>
  <si>
    <t>Review high-impact error cases and counterbalanced-order effects.</t>
  </si>
  <si>
    <t>R09-T4</t>
  </si>
  <si>
    <t>Write limitations and threat-to-validity section.</t>
  </si>
  <si>
    <t>R09-T5</t>
  </si>
  <si>
    <t>Run independent reproduction and resolve discrepancies.</t>
  </si>
  <si>
    <t>ENG10-T1</t>
  </si>
  <si>
    <t>Run the integrated physical rehearsal and network/data-retention audit from a written checklist.</t>
  </si>
  <si>
    <t>ENG10-T2</t>
  </si>
  <si>
    <t>Fix acceptance-blocking integration defects and rerun only affected plus required regression checks.</t>
  </si>
  <si>
    <t>ENG10-T3</t>
  </si>
  <si>
    <t>Package versioned FactoryRelay demo instructions, limitations, data/analysis artifacts and a contribution-evidence table under research/ for the final presentation; separately identify which approved materials may be published.</t>
  </si>
  <si>
    <t>R10-T1</t>
  </si>
  <si>
    <t>Draft paper from frozen evidence and verified literature matrix.</t>
  </si>
  <si>
    <t>R10-T2</t>
  </si>
  <si>
    <t>Package/reproduce artifacts and remove private data/credentials.</t>
  </si>
  <si>
    <t>R10-T3</t>
  </si>
  <si>
    <t>Link the contribution/prior-art decision from R02/R11 and check submission versus publication wording.</t>
  </si>
  <si>
    <t>R10-T4</t>
  </si>
  <si>
    <t>Peer-review manuscript and demonstration against actual build.</t>
  </si>
  <si>
    <t>R10-T5</t>
  </si>
  <si>
    <t>Present outcomes and a clearly prioritized next-study plan.</t>
  </si>
  <si>
    <t>R11-T1</t>
  </si>
  <si>
    <t>Extract a mechanism-specific feature comparison from R02.</t>
  </si>
  <si>
    <t>R11-T2</t>
  </si>
  <si>
    <t>Collect dated design/experiment evidence and contributor records.</t>
  </si>
  <si>
    <t>R11-T3</t>
  </si>
  <si>
    <t>Prepare the institutional-review brief and disclosure-timing questions; record the resulting decision when obtained.</t>
  </si>
  <si>
    <t>ENG11-T1</t>
  </si>
  <si>
    <t>Benchmark and provision a licensed local ASR pack for the selected language profile.</t>
  </si>
  <si>
    <t>ENG11-T2</t>
  </si>
  <si>
    <t>Implement record/review/correct controls and permission/retention checks.</t>
  </si>
  <si>
    <t>ENG11-T3</t>
  </si>
  <si>
    <t>Run the declared speech evaluation and document scope separately from text results.</t>
  </si>
  <si>
    <t>ENG12-T1</t>
  </si>
  <si>
    <t>Write the one-action boundary, device permissions and lab test/approval checklist.</t>
  </si>
  <si>
    <t>ENG12-T2</t>
  </si>
  <si>
    <t>Implement and exercise a restricted mock gateway before connecting any approved rig.</t>
  </si>
  <si>
    <t>ENG12-T3</t>
  </si>
  <si>
    <t>Run the supervised conditional demonstration or document the blocked prerequisite and simulator-only result.</t>
  </si>
  <si>
    <t>Sprint Goals and adjustable forecast</t>
  </si>
  <si>
    <t>The Product Owner orders work; the team selects a feasible subset. Conditional items never silently displace core evaluation.</t>
  </si>
  <si>
    <t>Sprint</t>
  </si>
  <si>
    <t>Relative weeks</t>
  </si>
  <si>
    <t>Sprint Goal</t>
  </si>
  <si>
    <t>Candidate stories</t>
  </si>
  <si>
    <t>Reviewable increment</t>
  </si>
  <si>
    <t>Gate / adaptation</t>
  </si>
  <si>
    <t>Weeks 1–2</t>
  </si>
  <si>
    <t>Confirm team access, language/device feasibility and physical acceptance of the existing LAN host.</t>
  </si>
  <si>
    <t>ENG0, R01, ENG1, ENG2</t>
  </si>
  <si>
    <t>Show individual setup evidence, literature map and a measured local-inference request; two actual devices complete a WAN-disconnected round.</t>
  </si>
  <si>
    <t>Pull only tasks fitting capacity. Name supported devices, review scope and training feasibility; re-estimate the backlog.</t>
  </si>
  <si>
    <t>Weeks 3–4</t>
  </si>
  <si>
    <t>Deliver one locally provisioned translation preview with consent and a frozen study design.</t>
  </si>
  <si>
    <t>R02, R03, ENG4, ENG3</t>
  </si>
  <si>
    <t>Load a verified local pack, translate a synthetic message and demonstrate retain/delete choices. Present first-month review.</t>
  </si>
  <si>
    <t>Select only work fitting capacity. Companion integration is the first risk to split; do not promise a full UI yet.</t>
  </si>
  <si>
    <t>Weeks 5–6</t>
  </si>
  <si>
    <t>Use original-plus-translated text in a real game round with analysis-ready records.</t>
  </si>
  <si>
    <t>ENG5, ENG9, R04</t>
  </si>
  <si>
    <t>Two players complete a translated round; show export versions and reviewed grouped corpus splits.</t>
  </si>
  <si>
    <t>Keep final test sealed; unsupported directions/devices remain explicit.</t>
  </si>
  <si>
    <t>Weeks 7–8</t>
  </si>
  <si>
    <t>Let a player review a session and reuse approved local corrections.</t>
  </si>
  <si>
    <t>ENG6, ENG7</t>
  </si>
  <si>
    <t>Review → keep/delete → update memory → translate another example. If eligible, show a real local adapter artifact.</t>
  </si>
  <si>
    <t>ENG7 is conditional; genuine training must change weights. Queueing is not successful training.</t>
  </si>
  <si>
    <t>Weeks 9–10</t>
  </si>
  <si>
    <t>Evaluate stable conditions and collect a small exploratory user pilot.</t>
  </si>
  <si>
    <t>R06, R08, ENG8</t>
  </si>
  <si>
    <t>Blinded condition results, pilot observations and physical device behavior; adapter promotion/rollback only if ready.</t>
  </si>
  <si>
    <t>ENG8 must complete before including B3 at final freeze; core B0/B1/B2 continue without it.</t>
  </si>
  <si>
    <t>Weeks 11–12</t>
  </si>
  <si>
    <t>Deliver a reproducible research extension and a defensible course evidence package.</t>
  </si>
  <si>
    <t>R09, ENG10, R10</t>
  </si>
  <si>
    <t>Offline end-to-end extension demo, measured tables, updated report/slides, manuscript and achieved/deferred feature matrix.</t>
  </si>
  <si>
    <t>Existing game publication is complete. R11 concerns a future evidenced mechanism and must record earlier public disclosures.</t>
  </si>
  <si>
    <t>Ready / Done / review checklist</t>
  </si>
  <si>
    <t>Copy a checklist for each sprint if helpful. These are proposed team conventions, not extra Scrum roles.</t>
  </si>
  <si>
    <t>Stage</t>
  </si>
  <si>
    <t>Check</t>
  </si>
  <si>
    <t>Checked by</t>
  </si>
  <si>
    <t>Evidence / action</t>
  </si>
  <si>
    <t>Ready to pull</t>
  </si>
  <si>
    <t>Clear value, acceptance criteria and deliverable.</t>
  </si>
  <si>
    <t>Not yet</t>
  </si>
  <si>
    <t>Dependencies, device/data access and reviewer availability confirmed.</t>
  </si>
  <si>
    <t>Task fits one member workday or is split further.</t>
  </si>
  <si>
    <t>Volunteer owner, different reviewer and Sprint Goal fit confirmed.</t>
  </si>
  <si>
    <t>Sprint Planning</t>
  </si>
  <si>
    <t>Confirm one Sprint Goal.</t>
  </si>
  <si>
    <t>Enter each member’s available hours and leave uncertainty reserve.</t>
  </si>
  <si>
    <t>Re-estimate selected stories; verify dependencies and access.</t>
  </si>
  <si>
    <t>Members choose tasks; name a different reviewer.</t>
  </si>
  <si>
    <t>Keep only work that can finish this sprint.</t>
  </si>
  <si>
    <t>Definition of Done</t>
  </si>
  <si>
    <t>All acceptance criteria have linked evidence.</t>
  </si>
  <si>
    <t>A different member reviewed and reproduced the essential result.</t>
  </si>
  <si>
    <t>Applicable checks pass and unresolved limits are explicit.</t>
  </si>
  <si>
    <t>Data, model versions and citations are traceable.</t>
  </si>
  <si>
    <t>Integrated increment works; documents and board are updated.</t>
  </si>
  <si>
    <t>Sprint Review</t>
  </si>
  <si>
    <t>Demonstrate the actual increment, not slides alone.</t>
  </si>
  <si>
    <t>Show measured results, failed gates and open defects.</t>
  </si>
  <si>
    <t>Map evidence to professor criteria.</t>
  </si>
  <si>
    <t>Record supervisor feedback and reorder the backlog.</t>
  </si>
  <si>
    <t>Retrospective</t>
  </si>
  <si>
    <t>Name one thing to keep and one thing to change.</t>
  </si>
  <si>
    <t>Check WIP, review delays and workload fairness.</t>
  </si>
  <si>
    <t>Choose one improvement, volunteer owner and next-sprint check.</t>
  </si>
  <si>
    <t>Final Delivery</t>
  </si>
  <si>
    <t>Problem establishment linked as completed.</t>
  </si>
  <si>
    <t>Literature and nearest-work comparison verified.</t>
  </si>
  <si>
    <t>Effectiveness results reproducible with limitations.</t>
  </si>
  <si>
    <t>Physical offline-LAN acceptance recorded.</t>
  </si>
  <si>
    <t>Paper/disclosure/submission status stated accurately.</t>
  </si>
  <si>
    <t>Actual versus deferred translation/training/voice/control features visible.</t>
  </si>
  <si>
    <t>Professor criteria → evidence</t>
  </si>
  <si>
    <t>Keep this sheet ready for every professor review. Do not re-open completed problem establishment.</t>
  </si>
  <si>
    <t>Criterion</t>
  </si>
  <si>
    <t>Current state</t>
  </si>
  <si>
    <t>Stories / anchor</t>
  </si>
  <si>
    <t>Required evidence</t>
  </si>
  <si>
    <t>Link / notes</t>
  </si>
  <si>
    <t>Problem establishment</t>
  </si>
  <si>
    <t>Completed</t>
  </si>
  <si>
    <t>Approved team problem sheet</t>
  </si>
  <si>
    <t>Completed before this plan</t>
  </si>
  <si>
    <t>Team confirms completed; add existing link here.</t>
  </si>
  <si>
    <t>Literature survey</t>
  </si>
  <si>
    <t>Remaining</t>
  </si>
  <si>
    <t>R01; R02</t>
  </si>
  <si>
    <t>Verified search/matrix/closest-work synthesis</t>
  </si>
  <si>
    <t>Starting references exist; systematic survey not completed.</t>
  </si>
  <si>
    <t>Excellence / originality</t>
  </si>
  <si>
    <t>Baseline built; research pending</t>
  </si>
  <si>
    <t>R02; ENG1; ENG3–ENG8</t>
  </si>
  <si>
    <t>Evaluated extension, alternatives and qualified contribution</t>
  </si>
  <si>
    <t>A published game does not establish research novelty.</t>
  </si>
  <si>
    <t>Software checked; study pending</t>
  </si>
  <si>
    <t>ENG0; R03; R04; ENG2; ENG9; R06; R08; R09; ENG10</t>
  </si>
  <si>
    <t>Controlled results, physical offline proof and limitations</t>
  </si>
  <si>
    <t>41 unit + 114 hosted browser checks verify software behavior, not translation or participant benefit.</t>
  </si>
  <si>
    <t>Expected outcomes</t>
  </si>
  <si>
    <t>Prototype published; papers pending</t>
  </si>
  <si>
    <t>BASE04–BASE07; R10; conditional R11</t>
  </si>
  <si>
    <t>Existing code/demo/scenario artifacts; future manuscript and possible disclosure</t>
  </si>
  <si>
    <t>Code, Space, game and scenario dataset published. No paper submission/acceptance, filing or patent grant is claimed.</t>
  </si>
  <si>
    <t>Literature extraction template</t>
  </si>
  <si>
    <t>Two verified starting references are seeded; their extraction is unfinished. Add relevant current industrial/dialect work and patent documents.</t>
  </si>
  <si>
    <t>Study ID</t>
  </si>
  <si>
    <t>Citation / title</t>
  </si>
  <si>
    <t>Year</t>
  </si>
  <si>
    <t>Primary URL / DOI</t>
  </si>
  <si>
    <t>Task and languages</t>
  </si>
  <si>
    <t>Data / split</t>
  </si>
  <si>
    <t>Baseline and method</t>
  </si>
  <si>
    <t>Reported metrics / results</t>
  </si>
  <si>
    <t>Limitations</t>
  </si>
  <si>
    <t>Code / data / license</t>
  </si>
  <si>
    <t>Relevance / closest overlap</t>
  </si>
  <si>
    <t>L01</t>
  </si>
  <si>
    <t>Hu et al. LoRA: Low-Rank Adaptation of Large Language Models (2021).</t>
  </si>
  <si>
    <t>2021</t>
  </si>
  <si>
    <t>https://arxiv.org/abs/2106.09685</t>
  </si>
  <si>
    <t>To extract</t>
  </si>
  <si>
    <t>LoRA</t>
  </si>
  <si>
    <t>Do not copy cross-dataset scores as rankings.</t>
  </si>
  <si>
    <t>To verify</t>
  </si>
  <si>
    <t>Starting reference; not a completed review.</t>
  </si>
  <si>
    <t>To review</t>
  </si>
  <si>
    <t>L02</t>
  </si>
  <si>
    <t>Lewis et al. Retrieval-Augmented Generation for Knowledge-Intensive NLP Tasks (NeurIPS 2020).</t>
  </si>
  <si>
    <t>2020</t>
  </si>
  <si>
    <t>https://arxiv.org/abs/2005.11401</t>
  </si>
  <si>
    <t>RAG</t>
  </si>
  <si>
    <t>L03</t>
  </si>
  <si>
    <t>L04</t>
  </si>
  <si>
    <t>L05</t>
  </si>
  <si>
    <t>L06</t>
  </si>
  <si>
    <t>L07</t>
  </si>
  <si>
    <t>L08</t>
  </si>
  <si>
    <t>L09</t>
  </si>
  <si>
    <t>L10</t>
  </si>
  <si>
    <t>L11</t>
  </si>
  <si>
    <t>L12</t>
  </si>
  <si>
    <t>L13</t>
  </si>
  <si>
    <t>L14</t>
  </si>
  <si>
    <t>Reproducible search log</t>
  </si>
  <si>
    <t>Record exact queries and exclusion reasons. Include foundational work plus a dated current update; do not call this exhaustive.</t>
  </si>
  <si>
    <t>Date</t>
  </si>
  <si>
    <t>Database / site</t>
  </si>
  <si>
    <t>Exact query</t>
  </si>
  <si>
    <t>Filters / years</t>
  </si>
  <si>
    <t>Records found</t>
  </si>
  <si>
    <t>Included IDs</t>
  </si>
  <si>
    <t>Excluded / rationale</t>
  </si>
  <si>
    <t>Searcher</t>
  </si>
  <si>
    <t>Planned comparisons and measurement checklist</t>
  </si>
  <si>
    <t>Targets, not collected results: 120 utterances; 60/20/40 grouped adaptation/dev/test. Four consenting pairs. Public six-game-case answer keys are excluded from assistant prompts and final-test claims.</t>
  </si>
  <si>
    <t>Condition</t>
  </si>
  <si>
    <t>Name</t>
  </si>
  <si>
    <t>Configuration</t>
  </si>
  <si>
    <t>Control / gate</t>
  </si>
  <si>
    <t>Stories</t>
  </si>
  <si>
    <t>B0</t>
  </si>
  <si>
    <t>Frozen base</t>
  </si>
  <si>
    <t>No glossary, retrieval or adapter</t>
  </si>
  <si>
    <t>Same input/context/device/settings; training/dev/final splits fixed</t>
  </si>
  <si>
    <t>B1</t>
  </si>
  <si>
    <t>Fixed approved glossary</t>
  </si>
  <si>
    <t>Same base + predeclared terminology</t>
  </si>
  <si>
    <t>Same permitted adaptation records as B2; fixed glossary content logged</t>
  </si>
  <si>
    <t>B2</t>
  </si>
  <si>
    <t>Retrieved approved memory</t>
  </si>
  <si>
    <t>Same base + relevant reviewed examples; no weight updates</t>
  </si>
  <si>
    <t>Retrieved IDs logged; final test and hidden answers excluded</t>
  </si>
  <si>
    <t>B3</t>
  </si>
  <si>
    <t>Memory + adapter</t>
  </si>
  <si>
    <t>B2 + genuine validated LoRA</t>
  </si>
  <si>
    <t>Conditional; dev promotion and retention first; untouched final test later</t>
  </si>
  <si>
    <t>ENG7; ENG8; R06</t>
  </si>
  <si>
    <t>Measurements</t>
  </si>
  <si>
    <t>Primary: message critical-error rate</t>
  </si>
  <si>
    <t>Messages with at least one wrong/omitted required critical field or unsupported critical addition / all evaluated messages. Reviewer rubric defines criticality.</t>
  </si>
  <si>
    <t>Diagnostic: field error rate</t>
  </si>
  <si>
    <t>Wrong/omitted applicable fields / all applicable fields; asset, action, quantity/unit, negation, condition, timing. Count unsupported additions separately.</t>
  </si>
  <si>
    <t>Task success</t>
  </si>
  <si>
    <t>Correct first decisions / decided rounds; wrong attempted actions separate from simulator blocks.</t>
  </si>
  <si>
    <t>Human review</t>
  </si>
  <si>
    <t>Blinded outputs; competent target-language review, disagreement and adjudication record; each direction separately.</t>
  </si>
  <si>
    <t>Resources</t>
  </si>
  <si>
    <t>Median/p95 latency with text length/device; RAM/VRAM, pack size, load/training time; targets frozen before final testing.</t>
  </si>
  <si>
    <t>Offline proof</t>
  </si>
  <si>
    <t>WAN disabled; local host remains running. Cold-start prepared models/companions, two-device play, reconnection, memory and eligible adapter reload/rollback.</t>
  </si>
  <si>
    <t>Leakage rules</t>
  </si>
  <si>
    <t>Final test excluded from training, retrieved memory and promotion; group paraphrases/base cases together; guidance setting fixed.</t>
  </si>
  <si>
    <t>Visible risks and next actions</t>
  </si>
  <si>
    <t>Choose an owner when actively mitigating a risk; a plan is not proof that the risk is resolved.</t>
  </si>
  <si>
    <t>Risk</t>
  </si>
  <si>
    <t>Related story</t>
  </si>
  <si>
    <t>Mitigation / trigger</t>
  </si>
  <si>
    <t>Member access / deployment</t>
  </si>
  <si>
    <t>Verify individual clones and CI; document owner-managed private Space publishing and check each Vercel deployment outcome.</t>
  </si>
  <si>
    <t>Open</t>
  </si>
  <si>
    <t>No suitable model or reviewer</t>
  </si>
  <si>
    <t>ENG1; R03</t>
  </si>
  <si>
    <t>Narrow pair/direction; do not promise dialect quality.</t>
  </si>
  <si>
    <t>Device training infeasible</t>
  </si>
  <si>
    <t>ENG1; ENG7</t>
  </si>
  <si>
    <t>Log feasibility; retain memory-only core and explicitly defer training.</t>
  </si>
  <si>
    <t>LAN client isolation/trust</t>
  </si>
  <si>
    <t>ENG2; ENG10</t>
  </si>
  <si>
    <t>Test physical network/certificate early; record unsupported setup.</t>
  </si>
  <si>
    <t>Corpus or test leakage</t>
  </si>
  <si>
    <t>R03; R04; R06</t>
  </si>
  <si>
    <t>Public teaching cases include answer keys. Group new cases; freeze test; log retrieval IDs and independent review.</t>
  </si>
  <si>
    <t>Capacity / review bottleneck</t>
  </si>
  <si>
    <t>Every sprint</t>
  </si>
  <si>
    <t>Confirm remaining weeks and Team capacity/WIP; pair and remove stretch first.</t>
  </si>
  <si>
    <t>Prior public disclosure / novelty</t>
  </si>
  <si>
    <t>R02; R11</t>
  </si>
  <si>
    <t>Record the already-public game/dataset and dated versions. Seek qualified review for any specific future invention claim.</t>
  </si>
  <si>
    <t>Sources and implementation baseline</t>
  </si>
  <si>
    <t>External sources support methods/framework context. Recorded implementation evidence is separate from the unfinished literature survey and future user study.</t>
  </si>
  <si>
    <t>Source</t>
  </si>
  <si>
    <t>URL / local evidence</t>
  </si>
  <si>
    <t>Schwaber, K. and Sutherland, J. The Scrum Guide (November 2020). Official framework. Accessed 21 October 2026.</t>
  </si>
  <si>
    <t>https://scrumguides.org/scrum-guide.html</t>
  </si>
  <si>
    <t>Hugging Face. Transformers installation: offline mode. Cached artifacts and local-only loading. Accessed 21 October 2026.</t>
  </si>
  <si>
    <t>https://huggingface.co/docs/transformers/installation#offline-mode</t>
  </si>
  <si>
    <t>WIPO. How to Protect Inventions through Patents: conditions for patentability. Accessed 21 October 2026.</t>
  </si>
  <si>
    <t>https://www.wipo.int/en/web/patents/protection</t>
  </si>
  <si>
    <t>WIPO. Frequently Asked Questions: Patents, confidentiality and disclosure. Accessed 21 October 2026.</t>
  </si>
  <si>
    <t>https://www.wipo.int/en/web/patents/faq_patents</t>
  </si>
  <si>
    <t>Local</t>
  </si>
  <si>
    <t>Current standalone status, 21 October 2026</t>
  </si>
  <si>
    <t>current-status.json</t>
  </si>
  <si>
    <t>Verified publication and build assets</t>
  </si>
  <si>
    <t>../../.release/publication-status.json</t>
  </si>
  <si>
    <t>114 live Vercel browser checks</t>
  </si>
  <si>
    <t>../../.release/vercel-verification/summary.json</t>
  </si>
  <si>
    <t>Historical LAN browser-context checks</t>
  </si>
  <si>
    <t>../../tests/factory-lan-results/report.json</t>
  </si>
  <si>
    <t>Historical</t>
  </si>
  <si>
    <t>13 October report; earlier application baseline</t>
  </si>
  <si>
    <t>../documentation/Factory_Relay_Technical_Report.pdf</t>
  </si>
</sst>
</file>

<file path=xl/styles.xml><?xml version="1.0" encoding="utf-8"?>
<styleSheet xmlns="http://schemas.openxmlformats.org/spreadsheetml/2006/main">
  <numFmts count="2">
    <numFmt numFmtId="164" formatCode="0.0"/>
    <numFmt numFmtId="165" formatCode="0%"/>
  </numFmts>
  <fonts count="5">
    <font>
      <sz val="11"/>
      <color theme="1"/>
      <name val="Calibri"/>
      <family val="2"/>
      <scheme val="minor"/>
    </font>
    <font>
      <b/>
      <sz val="18"/>
      <color rgb="FF14334A"/>
      <name val="Calibri"/>
      <family val="2"/>
      <scheme val="minor"/>
    </font>
    <font>
      <b/>
      <sz val="11"/>
      <color rgb="FFFFFFFF"/>
      <name val="Calibri"/>
      <family val="2"/>
      <scheme val="minor"/>
    </font>
    <font>
      <sz val="11"/>
      <color rgb="FF456575"/>
      <name val="Calibri"/>
      <family val="2"/>
      <scheme val="minor"/>
    </font>
    <font>
      <sz val="11"/>
      <color rgb="FF005B64"/>
      <name val="Calibri"/>
      <family val="2"/>
      <scheme val="minor"/>
    </font>
  </fonts>
  <fills count="4">
    <fill>
      <patternFill patternType="none"/>
    </fill>
    <fill>
      <patternFill patternType="gray125"/>
    </fill>
    <fill>
      <patternFill patternType="solid">
        <fgColor rgb="FF14334A"/>
        <bgColor indexed="64"/>
      </patternFill>
    </fill>
    <fill>
      <patternFill patternType="solid">
        <fgColor rgb="FFE4F7F4"/>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applyAlignment="1">
      <alignment vertical="center" wrapText="1"/>
    </xf>
    <xf numFmtId="0" fontId="0" fillId="0" borderId="0" xfId="0" applyAlignment="1">
      <alignment vertical="top" wrapText="1"/>
    </xf>
    <xf numFmtId="164" fontId="0" fillId="0" borderId="0" xfId="0" applyNumberFormat="1" applyAlignment="1">
      <alignment wrapText="1"/>
    </xf>
    <xf numFmtId="0" fontId="3" fillId="0" borderId="0" xfId="0" applyFont="1" applyAlignment="1">
      <alignment vertical="top" wrapText="1"/>
    </xf>
    <xf numFmtId="0" fontId="4" fillId="3" borderId="0" xfId="0" applyFont="1" applyFill="1" applyAlignment="1">
      <alignment vertical="top" wrapText="1"/>
    </xf>
    <xf numFmtId="165" fontId="0" fillId="3" borderId="0" xfId="0" applyNumberFormat="1" applyFill="1"/>
  </cellXfs>
  <cellStyles count="1">
    <cellStyle name="Normal" xfId="0" builtinId="0"/>
  </cellStyles>
  <dxfs count="2">
    <dxf>
      <font>
        <color rgb="FF9B2424"/>
      </font>
      <fill>
        <patternFill>
          <bgColor rgb="FFFDE8E7"/>
        </patternFill>
      </fill>
    </dxf>
    <dxf>
      <font>
        <color rgb="FF1E6140"/>
      </font>
      <fill>
        <patternFill>
          <bgColor rgb="FFDCF2E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toecm/factoryrelay%20;%20standalone%20source,%20tests,%20guides%20and%20passing%20GitHub%20checks." TargetMode="External"/><Relationship Id="rId2" Type="http://schemas.openxmlformats.org/officeDocument/2006/relationships/hyperlink" Target="https://huggingface.co/spaces/toecm/FactoryRelay%20;%20runtime%20RUNNING%20and%20deployed%20assets%20verified%20on%2021%20October." TargetMode="External"/><Relationship Id="rId3" Type="http://schemas.openxmlformats.org/officeDocument/2006/relationships/hyperlink" Target="https://huggingface.co/datasets/toecm/factoryrelay%20;%20six%20authored%20fictional%20English%20scenarios%20with%20schema,%20manifest%20and%20verified%20file%20hashes." TargetMode="External"/><Relationship Id="rId4" Type="http://schemas.openxmlformats.org/officeDocument/2006/relationships/hyperlink" Target="https://factoryrelay.vercel.app/%20;%20existing%20GitHub%20integration%20deploys%20the%20project.%20114%20checks%20covered%20desktop/mobile%20layout,%20gameplay,%20export,%20paired%20tabs%20and%20animation;%20zero%20browser%20error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rxiv.org/abs/2106.09685" TargetMode="External"/><Relationship Id="rId2" Type="http://schemas.openxmlformats.org/officeDocument/2006/relationships/hyperlink" Target="https://arxiv.org/abs/2005.1140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crumguides.org/scrum-guide.html" TargetMode="External"/><Relationship Id="rId2" Type="http://schemas.openxmlformats.org/officeDocument/2006/relationships/hyperlink" Target="https://huggingface.co/docs/transformers/installation" TargetMode="External"/><Relationship Id="rId3" Type="http://schemas.openxmlformats.org/officeDocument/2006/relationships/hyperlink" Target="https://arxiv.org/abs/2106.09685" TargetMode="External"/><Relationship Id="rId4" Type="http://schemas.openxmlformats.org/officeDocument/2006/relationships/hyperlink" Target="https://arxiv.org/abs/2005.11401" TargetMode="External"/><Relationship Id="rId5" Type="http://schemas.openxmlformats.org/officeDocument/2006/relationships/hyperlink" Target="https://www.wipo.int/en/web/patents/protection" TargetMode="External"/><Relationship Id="rId6" Type="http://schemas.openxmlformats.org/officeDocument/2006/relationships/hyperlink" Target="https://www.wipo.int/en/web/patents/faq_patents"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G20"/>
  <sheetViews>
    <sheetView showGridLines="0" tabSelected="1" workbookViewId="0"/>
  </sheetViews>
  <sheetFormatPr defaultRowHeight="15"/>
  <cols>
    <col min="1" max="1" width="30.7109375" customWidth="1"/>
    <col min="2" max="7" width="19.7109375" customWidth="1"/>
  </cols>
  <sheetData>
    <row r="1" spans="1:7">
      <c r="A1" s="1" t="s">
        <v>0</v>
      </c>
      <c r="B1" s="1"/>
      <c r="C1" s="1"/>
      <c r="D1" s="1"/>
      <c r="E1" s="1"/>
      <c r="F1" s="1"/>
      <c r="G1" s="1"/>
    </row>
    <row r="4" spans="1:7" ht="46" customHeight="1">
      <c r="A4" s="2" t="s">
        <v>1</v>
      </c>
      <c r="B4" s="3" t="s">
        <v>2</v>
      </c>
      <c r="C4" s="3"/>
      <c r="D4" s="3"/>
      <c r="E4" s="3"/>
      <c r="F4" s="3"/>
      <c r="G4" s="3"/>
    </row>
    <row r="5" spans="1:7" ht="46" customHeight="1">
      <c r="A5" s="2" t="s">
        <v>3</v>
      </c>
      <c r="B5" s="3" t="s">
        <v>4</v>
      </c>
      <c r="C5" s="3"/>
      <c r="D5" s="3"/>
      <c r="E5" s="3"/>
      <c r="F5" s="3"/>
      <c r="G5" s="3"/>
    </row>
    <row r="6" spans="1:7" ht="46" customHeight="1">
      <c r="A6" s="2" t="s">
        <v>5</v>
      </c>
      <c r="B6" s="3" t="s">
        <v>6</v>
      </c>
      <c r="C6" s="3"/>
      <c r="D6" s="3"/>
      <c r="E6" s="3"/>
      <c r="F6" s="3"/>
      <c r="G6" s="3"/>
    </row>
    <row r="7" spans="1:7" ht="46" customHeight="1">
      <c r="A7" s="2" t="s">
        <v>7</v>
      </c>
      <c r="B7" s="3" t="s">
        <v>8</v>
      </c>
      <c r="C7" s="3"/>
      <c r="D7" s="3"/>
      <c r="E7" s="3"/>
      <c r="F7" s="3"/>
      <c r="G7" s="3"/>
    </row>
    <row r="8" spans="1:7" ht="46" customHeight="1">
      <c r="A8" s="2" t="s">
        <v>9</v>
      </c>
      <c r="B8" s="3" t="s">
        <v>10</v>
      </c>
      <c r="C8" s="3"/>
      <c r="D8" s="3"/>
      <c r="E8" s="3"/>
      <c r="F8" s="3"/>
      <c r="G8" s="3"/>
    </row>
    <row r="9" spans="1:7" ht="46" customHeight="1">
      <c r="A9" s="2" t="s">
        <v>11</v>
      </c>
      <c r="B9" s="3" t="s">
        <v>12</v>
      </c>
      <c r="C9" s="3"/>
      <c r="D9" s="3"/>
      <c r="E9" s="3"/>
      <c r="F9" s="3"/>
      <c r="G9" s="3"/>
    </row>
    <row r="10" spans="1:7" ht="46" customHeight="1">
      <c r="A10" s="2" t="s">
        <v>13</v>
      </c>
      <c r="B10" s="3" t="s">
        <v>14</v>
      </c>
      <c r="C10" s="3"/>
      <c r="D10" s="3"/>
      <c r="E10" s="3"/>
      <c r="F10" s="3"/>
      <c r="G10" s="3"/>
    </row>
    <row r="11" spans="1:7" ht="46" customHeight="1">
      <c r="A11" s="2" t="s">
        <v>15</v>
      </c>
      <c r="B11" s="3" t="s">
        <v>16</v>
      </c>
      <c r="C11" s="3"/>
      <c r="D11" s="3"/>
      <c r="E11" s="3"/>
      <c r="F11" s="3"/>
      <c r="G11" s="3"/>
    </row>
    <row r="12" spans="1:7" ht="46" customHeight="1">
      <c r="A12" s="2" t="s">
        <v>17</v>
      </c>
      <c r="B12" s="3" t="s">
        <v>18</v>
      </c>
      <c r="C12" s="3"/>
      <c r="D12" s="3"/>
      <c r="E12" s="3"/>
      <c r="F12" s="3"/>
      <c r="G12" s="3"/>
    </row>
    <row r="13" spans="1:7" ht="46" customHeight="1">
      <c r="A13" s="2" t="s">
        <v>19</v>
      </c>
      <c r="B13" s="3" t="s">
        <v>20</v>
      </c>
      <c r="C13" s="3"/>
      <c r="D13" s="3"/>
      <c r="E13" s="3"/>
      <c r="F13" s="3"/>
      <c r="G13" s="3"/>
    </row>
    <row r="14" spans="1:7" ht="46" customHeight="1">
      <c r="A14" s="2" t="s">
        <v>21</v>
      </c>
      <c r="B14" s="3" t="s">
        <v>22</v>
      </c>
      <c r="C14" s="3"/>
      <c r="D14" s="3"/>
      <c r="E14" s="3"/>
      <c r="F14" s="3"/>
      <c r="G14" s="3"/>
    </row>
    <row r="15" spans="1:7" ht="46" customHeight="1">
      <c r="A15" s="2" t="s">
        <v>23</v>
      </c>
      <c r="B15" s="3" t="s">
        <v>24</v>
      </c>
      <c r="C15" s="3"/>
      <c r="D15" s="3"/>
      <c r="E15" s="3"/>
      <c r="F15" s="3"/>
      <c r="G15" s="3"/>
    </row>
    <row r="16" spans="1:7" ht="46" customHeight="1">
      <c r="A16" s="2" t="s">
        <v>25</v>
      </c>
      <c r="B16" s="3" t="s">
        <v>26</v>
      </c>
      <c r="C16" s="3"/>
      <c r="D16" s="3"/>
      <c r="E16" s="3"/>
      <c r="F16" s="3"/>
      <c r="G16" s="3"/>
    </row>
    <row r="17" spans="1:7" ht="46" customHeight="1">
      <c r="A17" s="2" t="s">
        <v>27</v>
      </c>
      <c r="B17" s="3" t="s">
        <v>28</v>
      </c>
      <c r="C17" s="3"/>
      <c r="D17" s="3"/>
      <c r="E17" s="3"/>
      <c r="F17" s="3"/>
      <c r="G17" s="3"/>
    </row>
    <row r="18" spans="1:7">
      <c r="A18" s="2" t="s">
        <v>29</v>
      </c>
      <c r="B18" s="4">
        <f>COUNTIFS(Backlog!B5:B504,"Core",Backlog!I5:I504,"Done")</f>
        <v>0</v>
      </c>
      <c r="D18" s="2" t="s">
        <v>30</v>
      </c>
      <c r="E18" s="4">
        <f>COUNTIF(Tasks!F5:F504,"In progress")</f>
        <v>0</v>
      </c>
    </row>
    <row r="20" spans="1:7" ht="56" customHeight="1">
      <c r="A20" s="2" t="s">
        <v>31</v>
      </c>
      <c r="B20" s="3" t="s">
        <v>32</v>
      </c>
      <c r="C20" s="3"/>
      <c r="D20" s="3"/>
      <c r="E20" s="3"/>
      <c r="F20" s="3"/>
      <c r="G20" s="3"/>
    </row>
  </sheetData>
  <mergeCells count="16">
    <mergeCell ref="A1:G1"/>
    <mergeCell ref="B4:G4"/>
    <mergeCell ref="B5:G5"/>
    <mergeCell ref="B6:G6"/>
    <mergeCell ref="B7:G7"/>
    <mergeCell ref="B8:G8"/>
    <mergeCell ref="B9:G9"/>
    <mergeCell ref="B10:G10"/>
    <mergeCell ref="B11:G11"/>
    <mergeCell ref="B12:G12"/>
    <mergeCell ref="B13:G13"/>
    <mergeCell ref="B14:G14"/>
    <mergeCell ref="B15:G15"/>
    <mergeCell ref="B16:G16"/>
    <mergeCell ref="B17:G17"/>
    <mergeCell ref="B20:G20"/>
  </mergeCells>
  <pageMargins left="0.7" right="0.7" top="0.75" bottom="0.75" header="0.3" footer="0.3"/>
  <pageSetup fitToHeight="0" orientation="landscape"/>
  <headerFooter>
    <oddFooter>Factory Relay | Updated 21 October 2026 | &amp;P</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12"/>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3.7109375" style="3" customWidth="1"/>
    <col min="2" max="2" width="37.7109375" style="3" customWidth="1"/>
    <col min="3" max="3" width="34.7109375" style="3" customWidth="1"/>
    <col min="4" max="5" width="100.7109375" style="3" customWidth="1"/>
  </cols>
  <sheetData>
    <row r="1" spans="1:5" ht="29" customHeight="1">
      <c r="A1" s="1" t="s">
        <v>33</v>
      </c>
      <c r="B1" s="1"/>
      <c r="C1" s="1"/>
      <c r="D1" s="1"/>
      <c r="E1" s="1"/>
    </row>
    <row r="2" spans="1:5" ht="34" customHeight="1">
      <c r="A2" s="5" t="s">
        <v>34</v>
      </c>
      <c r="B2" s="5"/>
      <c r="C2" s="5"/>
      <c r="D2" s="5"/>
      <c r="E2" s="5"/>
    </row>
    <row r="4" spans="1:5" ht="32" customHeight="1">
      <c r="A4" s="2" t="s">
        <v>35</v>
      </c>
      <c r="B4" s="2" t="s">
        <v>36</v>
      </c>
      <c r="C4" s="2" t="s">
        <v>37</v>
      </c>
      <c r="D4" s="2" t="s">
        <v>21</v>
      </c>
      <c r="E4" s="2" t="s">
        <v>38</v>
      </c>
    </row>
    <row r="5" spans="1:5" ht="100" customHeight="1">
      <c r="A5" s="3" t="s">
        <v>39</v>
      </c>
      <c r="B5" s="3" t="s">
        <v>40</v>
      </c>
      <c r="C5" s="3" t="s">
        <v>41</v>
      </c>
      <c r="D5" s="3" t="s">
        <v>42</v>
      </c>
      <c r="E5" s="3" t="s">
        <v>43</v>
      </c>
    </row>
    <row r="6" spans="1:5" ht="100" customHeight="1">
      <c r="A6" s="3" t="s">
        <v>44</v>
      </c>
      <c r="B6" s="3" t="s">
        <v>45</v>
      </c>
      <c r="C6" s="3" t="s">
        <v>46</v>
      </c>
      <c r="D6" s="3" t="s">
        <v>47</v>
      </c>
      <c r="E6" s="3" t="s">
        <v>48</v>
      </c>
    </row>
    <row r="7" spans="1:5" ht="100" customHeight="1">
      <c r="A7" s="3" t="s">
        <v>49</v>
      </c>
      <c r="B7" s="3" t="s">
        <v>50</v>
      </c>
      <c r="C7" s="3" t="s">
        <v>51</v>
      </c>
      <c r="D7" s="3" t="s">
        <v>52</v>
      </c>
      <c r="E7" s="3" t="s">
        <v>53</v>
      </c>
    </row>
    <row r="8" spans="1:5" ht="100" customHeight="1">
      <c r="A8" s="3" t="s">
        <v>54</v>
      </c>
      <c r="B8" s="3" t="s">
        <v>55</v>
      </c>
      <c r="C8" s="3" t="s">
        <v>56</v>
      </c>
      <c r="D8" s="3" t="s">
        <v>57</v>
      </c>
      <c r="E8" s="3" t="s">
        <v>58</v>
      </c>
    </row>
    <row r="9" spans="1:5" ht="100" customHeight="1">
      <c r="A9" s="3" t="s">
        <v>59</v>
      </c>
      <c r="B9" s="3" t="s">
        <v>60</v>
      </c>
      <c r="C9" s="3" t="s">
        <v>56</v>
      </c>
      <c r="D9" s="3" t="s">
        <v>61</v>
      </c>
      <c r="E9" s="3" t="s">
        <v>62</v>
      </c>
    </row>
    <row r="10" spans="1:5" ht="100" customHeight="1">
      <c r="A10" s="3" t="s">
        <v>63</v>
      </c>
      <c r="B10" s="3" t="s">
        <v>64</v>
      </c>
      <c r="C10" s="3" t="s">
        <v>65</v>
      </c>
      <c r="D10" s="3" t="s">
        <v>66</v>
      </c>
      <c r="E10" s="3" t="s">
        <v>67</v>
      </c>
    </row>
    <row r="11" spans="1:5" ht="100" customHeight="1">
      <c r="A11" s="3" t="s">
        <v>68</v>
      </c>
      <c r="B11" s="3" t="s">
        <v>69</v>
      </c>
      <c r="C11" s="3" t="s">
        <v>70</v>
      </c>
      <c r="D11" s="3" t="s">
        <v>71</v>
      </c>
      <c r="E11" s="3" t="s">
        <v>72</v>
      </c>
    </row>
    <row r="12" spans="1:5" ht="100" customHeight="1">
      <c r="A12" s="3" t="s">
        <v>73</v>
      </c>
      <c r="B12" s="3" t="s">
        <v>74</v>
      </c>
      <c r="C12" s="3" t="s">
        <v>75</v>
      </c>
      <c r="D12" s="3" t="s">
        <v>76</v>
      </c>
      <c r="E12" s="3" t="s">
        <v>77</v>
      </c>
    </row>
  </sheetData>
  <autoFilter ref="A4:E12"/>
  <mergeCells count="2">
    <mergeCell ref="A1:E1"/>
    <mergeCell ref="A2:E2"/>
  </mergeCells>
  <hyperlinks>
    <hyperlink ref="D8" r:id="rId1"/>
    <hyperlink ref="D9" r:id="rId2"/>
    <hyperlink ref="D10" r:id="rId3"/>
    <hyperlink ref="D11" r:id="rId4"/>
  </hyperlinks>
  <pageMargins left="0.7" right="0.7" top="0.75" bottom="0.75" header="0.3" footer="0.3"/>
  <pageSetup fitToHeight="0" orientation="landscape"/>
  <headerFooter>
    <oddFooter>Factory Relay | Updated 21 October 2026 | &amp;P</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H18"/>
  <sheetViews>
    <sheetView showGridLines="0" workbookViewId="0"/>
  </sheetViews>
  <sheetFormatPr defaultRowHeight="15"/>
  <cols>
    <col min="1" max="1" width="29.7109375" customWidth="1"/>
    <col min="2" max="2" width="20.7109375" customWidth="1"/>
    <col min="3" max="5" width="21.7109375" customWidth="1"/>
    <col min="6" max="8" width="23.7109375" customWidth="1"/>
  </cols>
  <sheetData>
    <row r="1" spans="1:8">
      <c r="A1" s="1" t="s">
        <v>78</v>
      </c>
      <c r="B1" s="1"/>
      <c r="C1" s="1"/>
      <c r="D1" s="1"/>
      <c r="E1" s="1"/>
      <c r="F1" s="1"/>
      <c r="G1" s="1"/>
      <c r="H1" s="1"/>
    </row>
    <row r="2" spans="1:8">
      <c r="A2" s="5" t="s">
        <v>79</v>
      </c>
      <c r="B2" s="5"/>
      <c r="C2" s="5"/>
      <c r="D2" s="5"/>
      <c r="E2" s="5"/>
      <c r="F2" s="5"/>
      <c r="G2" s="5"/>
      <c r="H2" s="5"/>
    </row>
    <row r="4" spans="1:8">
      <c r="A4" s="2" t="s">
        <v>80</v>
      </c>
      <c r="B4" s="2" t="s">
        <v>81</v>
      </c>
      <c r="C4" s="2" t="s">
        <v>82</v>
      </c>
      <c r="D4" s="2" t="s">
        <v>83</v>
      </c>
      <c r="E4" s="2" t="s">
        <v>84</v>
      </c>
      <c r="F4" s="2" t="s">
        <v>85</v>
      </c>
      <c r="G4" s="2" t="s">
        <v>86</v>
      </c>
      <c r="H4" s="2" t="s">
        <v>87</v>
      </c>
    </row>
    <row r="5" spans="1:8" ht="35" customHeight="1">
      <c r="A5" s="6" t="s">
        <v>88</v>
      </c>
      <c r="B5" s="6">
        <v>8</v>
      </c>
      <c r="C5" s="6">
        <v>2</v>
      </c>
      <c r="D5" s="6">
        <v>4.4</v>
      </c>
      <c r="E5" s="4">
        <f>MAX(0,B5*C5-D5)</f>
        <v>11.6</v>
      </c>
      <c r="F5" s="6" t="s">
        <v>89</v>
      </c>
      <c r="G5" s="6"/>
      <c r="H5" s="6"/>
    </row>
    <row r="6" spans="1:8" ht="35" customHeight="1">
      <c r="A6" s="6" t="s">
        <v>90</v>
      </c>
      <c r="B6" s="6">
        <v>8</v>
      </c>
      <c r="C6" s="6">
        <v>2</v>
      </c>
      <c r="D6" s="6">
        <v>4.4</v>
      </c>
      <c r="E6" s="4">
        <f>MAX(0,B6*C6-D6)</f>
        <v>11.6</v>
      </c>
      <c r="F6" s="6" t="s">
        <v>89</v>
      </c>
      <c r="G6" s="6"/>
      <c r="H6" s="6"/>
    </row>
    <row r="7" spans="1:8" ht="35" customHeight="1">
      <c r="A7" s="6" t="s">
        <v>91</v>
      </c>
      <c r="B7" s="6">
        <v>8</v>
      </c>
      <c r="C7" s="6">
        <v>2</v>
      </c>
      <c r="D7" s="6">
        <v>4.4</v>
      </c>
      <c r="E7" s="4">
        <f>MAX(0,B7*C7-D7)</f>
        <v>11.6</v>
      </c>
      <c r="F7" s="6" t="s">
        <v>89</v>
      </c>
      <c r="G7" s="6"/>
      <c r="H7" s="6"/>
    </row>
    <row r="10" spans="1:8">
      <c r="A10" s="2" t="s">
        <v>92</v>
      </c>
      <c r="B10" s="7">
        <v>0.2</v>
      </c>
    </row>
    <row r="11" spans="1:8">
      <c r="A11" s="2" t="s">
        <v>93</v>
      </c>
      <c r="B11" s="4">
        <f>SUM(E5:E7)</f>
        <v>34.8</v>
      </c>
    </row>
    <row r="12" spans="1:8">
      <c r="A12" s="2" t="s">
        <v>94</v>
      </c>
      <c r="B12" s="4">
        <f>B11*(1-B10)</f>
        <v>27.84</v>
      </c>
    </row>
    <row r="14" spans="1:8">
      <c r="A14" s="5" t="s">
        <v>95</v>
      </c>
      <c r="B14" s="5"/>
      <c r="C14" s="5"/>
      <c r="D14" s="5"/>
      <c r="E14" s="5"/>
      <c r="F14" s="5"/>
      <c r="G14" s="5"/>
      <c r="H14" s="5"/>
    </row>
    <row r="15" spans="1:8">
      <c r="A15" s="5"/>
      <c r="B15" s="5"/>
      <c r="C15" s="5"/>
      <c r="D15" s="5"/>
      <c r="E15" s="5"/>
      <c r="F15" s="5"/>
      <c r="G15" s="5"/>
      <c r="H15" s="5"/>
    </row>
    <row r="17" spans="1:8">
      <c r="A17" s="5" t="s">
        <v>96</v>
      </c>
      <c r="B17" s="5"/>
      <c r="C17" s="5"/>
      <c r="D17" s="5"/>
      <c r="E17" s="5"/>
      <c r="F17" s="5"/>
      <c r="G17" s="5"/>
      <c r="H17" s="5"/>
    </row>
    <row r="18" spans="1:8">
      <c r="A18" s="5"/>
      <c r="B18" s="5"/>
      <c r="C18" s="5"/>
      <c r="D18" s="5"/>
      <c r="E18" s="5"/>
      <c r="F18" s="5"/>
      <c r="G18" s="5"/>
      <c r="H18" s="5"/>
    </row>
  </sheetData>
  <mergeCells count="4">
    <mergeCell ref="A1:H1"/>
    <mergeCell ref="A2:H2"/>
    <mergeCell ref="A14:H15"/>
    <mergeCell ref="A17:H18"/>
  </mergeCells>
  <conditionalFormatting sqref="F5:F7">
    <cfRule type="expression" dxfId="0" priority="1">
      <formula>OR(COUNTIF($F$5:$F$7,"Product Owner + contributor")&gt;1,COUNTIF($F$5:$F$7,"Scrum Master + contributor")&gt;1)</formula>
    </cfRule>
  </conditionalFormatting>
  <dataValidations count="3">
    <dataValidation type="decimal" allowBlank="1" showInputMessage="1" showErrorMessage="1" sqref="B5:D7">
      <formula1>0</formula1>
      <formula2>80</formula2>
    </dataValidation>
    <dataValidation type="decimal" allowBlank="1" showInputMessage="1" showErrorMessage="1" sqref="B10">
      <formula1>0</formula1>
      <formula2>0.6</formula2>
    </dataValidation>
    <dataValidation type="list" allowBlank="1" showInputMessage="1" showErrorMessage="1" sqref="F5:F7">
      <formula1>"Product Owner + contributor,Scrum Master + contributor,Contributor"</formula1>
    </dataValidation>
  </dataValidations>
  <pageMargins left="0.7" right="0.7" top="0.75" bottom="0.75" header="0.3" footer="0.3"/>
  <pageSetup fitToHeight="0" orientation="landscape"/>
  <headerFooter>
    <oddFooter>Factory Relay | Updated 21 October 2026 | &amp;P</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M26"/>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1.7109375" style="3" customWidth="1"/>
    <col min="2" max="2" width="15.7109375" style="3" customWidth="1"/>
    <col min="3" max="3" width="26.7109375" style="3" customWidth="1"/>
    <col min="4" max="4" width="43.7109375" style="3" customWidth="1"/>
    <col min="5" max="5" width="16.7109375" style="3" customWidth="1"/>
    <col min="6" max="6" width="10.7109375" style="3" customWidth="1"/>
    <col min="7" max="7" width="24.7109375" style="3" customWidth="1"/>
    <col min="8" max="8" width="12.7109375" style="3" customWidth="1"/>
    <col min="9" max="9" width="16.7109375" style="3" customWidth="1"/>
    <col min="10" max="11" width="18.7109375" style="3" customWidth="1"/>
    <col min="12" max="12" width="35.7109375" style="3" customWidth="1"/>
    <col min="13" max="13" width="50.7109375" style="3" customWidth="1"/>
  </cols>
  <sheetData>
    <row r="1" spans="1:13" ht="29" customHeight="1">
      <c r="A1" s="1" t="s">
        <v>97</v>
      </c>
      <c r="B1" s="1"/>
      <c r="C1" s="1"/>
      <c r="D1" s="1"/>
      <c r="E1" s="1"/>
      <c r="F1" s="1"/>
      <c r="G1" s="1"/>
      <c r="H1" s="1"/>
      <c r="I1" s="1"/>
      <c r="J1" s="1"/>
      <c r="K1" s="1"/>
      <c r="L1" s="1"/>
      <c r="M1" s="1"/>
    </row>
    <row r="2" spans="1:13" ht="34" customHeight="1">
      <c r="A2" s="5" t="s">
        <v>98</v>
      </c>
      <c r="B2" s="5"/>
      <c r="C2" s="5"/>
      <c r="D2" s="5"/>
      <c r="E2" s="5"/>
      <c r="F2" s="5"/>
      <c r="G2" s="5"/>
      <c r="H2" s="5"/>
      <c r="I2" s="5"/>
      <c r="J2" s="5"/>
      <c r="K2" s="5"/>
      <c r="L2" s="5"/>
      <c r="M2" s="5"/>
    </row>
    <row r="4" spans="1:13" ht="32" customHeight="1">
      <c r="A4" s="2" t="s">
        <v>35</v>
      </c>
      <c r="B4" s="2" t="s">
        <v>99</v>
      </c>
      <c r="C4" s="2" t="s">
        <v>100</v>
      </c>
      <c r="D4" s="2" t="s">
        <v>101</v>
      </c>
      <c r="E4" s="2" t="s">
        <v>102</v>
      </c>
      <c r="F4" s="2" t="s">
        <v>103</v>
      </c>
      <c r="G4" s="2" t="s">
        <v>104</v>
      </c>
      <c r="H4" s="2" t="s">
        <v>105</v>
      </c>
      <c r="I4" s="2" t="s">
        <v>106</v>
      </c>
      <c r="J4" s="2" t="s">
        <v>107</v>
      </c>
      <c r="K4" s="2" t="s">
        <v>108</v>
      </c>
      <c r="L4" s="2" t="s">
        <v>109</v>
      </c>
      <c r="M4" s="2" t="s">
        <v>110</v>
      </c>
    </row>
    <row r="5" spans="1:13" ht="68" customHeight="1">
      <c r="A5" s="3" t="s">
        <v>111</v>
      </c>
      <c r="B5" s="3" t="s">
        <v>112</v>
      </c>
      <c r="C5" s="3" t="s">
        <v>113</v>
      </c>
      <c r="D5" s="3" t="s">
        <v>114</v>
      </c>
      <c r="E5" s="3" t="s">
        <v>115</v>
      </c>
      <c r="F5" s="3">
        <v>3</v>
      </c>
      <c r="G5" s="3" t="s">
        <v>116</v>
      </c>
      <c r="H5" s="6" t="s">
        <v>117</v>
      </c>
      <c r="I5" s="6" t="s">
        <v>118</v>
      </c>
      <c r="J5" s="6"/>
      <c r="K5" s="6"/>
      <c r="L5" s="6"/>
      <c r="M5" s="6" t="s">
        <v>119</v>
      </c>
    </row>
    <row r="6" spans="1:13" ht="65" customHeight="1">
      <c r="A6" s="3" t="s">
        <v>120</v>
      </c>
      <c r="B6" s="3" t="s">
        <v>112</v>
      </c>
      <c r="C6" s="3" t="s">
        <v>121</v>
      </c>
      <c r="D6" s="3" t="s">
        <v>122</v>
      </c>
      <c r="E6" s="3" t="s">
        <v>123</v>
      </c>
      <c r="F6" s="3">
        <v>5</v>
      </c>
      <c r="G6" s="3" t="s">
        <v>116</v>
      </c>
      <c r="H6" s="6" t="s">
        <v>117</v>
      </c>
      <c r="I6" s="6" t="s">
        <v>118</v>
      </c>
      <c r="J6" s="6"/>
      <c r="K6" s="6"/>
      <c r="L6" s="6"/>
      <c r="M6" s="6" t="s">
        <v>124</v>
      </c>
    </row>
    <row r="7" spans="1:13" ht="65" customHeight="1">
      <c r="A7" s="3" t="s">
        <v>125</v>
      </c>
      <c r="B7" s="3" t="s">
        <v>112</v>
      </c>
      <c r="C7" s="3" t="s">
        <v>126</v>
      </c>
      <c r="D7" s="3" t="s">
        <v>127</v>
      </c>
      <c r="E7" s="3" t="s">
        <v>128</v>
      </c>
      <c r="F7" s="3">
        <v>5</v>
      </c>
      <c r="G7" s="3" t="s">
        <v>116</v>
      </c>
      <c r="H7" s="6" t="s">
        <v>117</v>
      </c>
      <c r="I7" s="6" t="s">
        <v>118</v>
      </c>
      <c r="J7" s="6"/>
      <c r="K7" s="6"/>
      <c r="L7" s="6"/>
      <c r="M7" s="6" t="s">
        <v>129</v>
      </c>
    </row>
    <row r="8" spans="1:13" ht="65" customHeight="1">
      <c r="A8" s="3" t="s">
        <v>130</v>
      </c>
      <c r="B8" s="3" t="s">
        <v>112</v>
      </c>
      <c r="C8" s="3" t="s">
        <v>131</v>
      </c>
      <c r="D8" s="3" t="s">
        <v>132</v>
      </c>
      <c r="E8" s="3" t="s">
        <v>133</v>
      </c>
      <c r="F8" s="3">
        <v>3</v>
      </c>
      <c r="G8" s="3" t="s">
        <v>111</v>
      </c>
      <c r="H8" s="6" t="s">
        <v>117</v>
      </c>
      <c r="I8" s="6" t="s">
        <v>134</v>
      </c>
      <c r="J8" s="6"/>
      <c r="K8" s="6"/>
      <c r="L8" s="6"/>
      <c r="M8" s="6" t="s">
        <v>135</v>
      </c>
    </row>
    <row r="9" spans="1:13" ht="65" customHeight="1">
      <c r="A9" s="3" t="s">
        <v>136</v>
      </c>
      <c r="B9" s="3" t="s">
        <v>112</v>
      </c>
      <c r="C9" s="3" t="s">
        <v>137</v>
      </c>
      <c r="D9" s="3" t="s">
        <v>138</v>
      </c>
      <c r="E9" s="3" t="s">
        <v>123</v>
      </c>
      <c r="F9" s="3">
        <v>3</v>
      </c>
      <c r="G9" s="3" t="s">
        <v>120</v>
      </c>
      <c r="H9" s="6" t="s">
        <v>139</v>
      </c>
      <c r="I9" s="6" t="s">
        <v>134</v>
      </c>
      <c r="J9" s="6"/>
      <c r="K9" s="6"/>
      <c r="L9" s="6"/>
      <c r="M9" s="6" t="s">
        <v>124</v>
      </c>
    </row>
    <row r="10" spans="1:13" ht="65" customHeight="1">
      <c r="A10" s="3" t="s">
        <v>140</v>
      </c>
      <c r="B10" s="3" t="s">
        <v>112</v>
      </c>
      <c r="C10" s="3" t="s">
        <v>141</v>
      </c>
      <c r="D10" s="3" t="s">
        <v>142</v>
      </c>
      <c r="E10" s="3" t="s">
        <v>123</v>
      </c>
      <c r="F10" s="3">
        <v>5</v>
      </c>
      <c r="G10" s="3" t="s">
        <v>143</v>
      </c>
      <c r="H10" s="6" t="s">
        <v>139</v>
      </c>
      <c r="I10" s="6" t="s">
        <v>134</v>
      </c>
      <c r="J10" s="6"/>
      <c r="K10" s="6"/>
      <c r="L10" s="6"/>
      <c r="M10" s="6" t="s">
        <v>124</v>
      </c>
    </row>
    <row r="11" spans="1:13" ht="65" customHeight="1">
      <c r="A11" s="3" t="s">
        <v>144</v>
      </c>
      <c r="B11" s="3" t="s">
        <v>112</v>
      </c>
      <c r="C11" s="3" t="s">
        <v>145</v>
      </c>
      <c r="D11" s="3" t="s">
        <v>146</v>
      </c>
      <c r="E11" s="3" t="s">
        <v>115</v>
      </c>
      <c r="F11" s="3">
        <v>8</v>
      </c>
      <c r="G11" s="3" t="s">
        <v>125</v>
      </c>
      <c r="H11" s="6" t="s">
        <v>139</v>
      </c>
      <c r="I11" s="6" t="s">
        <v>134</v>
      </c>
      <c r="J11" s="6"/>
      <c r="K11" s="6"/>
      <c r="L11" s="6"/>
      <c r="M11" s="6" t="s">
        <v>147</v>
      </c>
    </row>
    <row r="12" spans="1:13" ht="65" customHeight="1">
      <c r="A12" s="3" t="s">
        <v>148</v>
      </c>
      <c r="B12" s="3" t="s">
        <v>112</v>
      </c>
      <c r="C12" s="3" t="s">
        <v>145</v>
      </c>
      <c r="D12" s="3" t="s">
        <v>149</v>
      </c>
      <c r="E12" s="3" t="s">
        <v>115</v>
      </c>
      <c r="F12" s="3">
        <v>5</v>
      </c>
      <c r="G12" s="3" t="s">
        <v>150</v>
      </c>
      <c r="H12" s="6" t="s">
        <v>139</v>
      </c>
      <c r="I12" s="6" t="s">
        <v>134</v>
      </c>
      <c r="J12" s="6"/>
      <c r="K12" s="6"/>
      <c r="L12" s="6"/>
      <c r="M12" s="6" t="s">
        <v>151</v>
      </c>
    </row>
    <row r="13" spans="1:13" ht="65" customHeight="1">
      <c r="A13" s="3" t="s">
        <v>152</v>
      </c>
      <c r="B13" s="3" t="s">
        <v>112</v>
      </c>
      <c r="C13" s="3" t="s">
        <v>153</v>
      </c>
      <c r="D13" s="3" t="s">
        <v>154</v>
      </c>
      <c r="E13" s="3" t="s">
        <v>123</v>
      </c>
      <c r="F13" s="3">
        <v>8</v>
      </c>
      <c r="G13" s="3" t="s">
        <v>140</v>
      </c>
      <c r="H13" s="6" t="s">
        <v>155</v>
      </c>
      <c r="I13" s="6" t="s">
        <v>134</v>
      </c>
      <c r="J13" s="6"/>
      <c r="K13" s="6"/>
      <c r="L13" s="6"/>
      <c r="M13" s="6" t="s">
        <v>124</v>
      </c>
    </row>
    <row r="14" spans="1:13" ht="65" customHeight="1">
      <c r="A14" s="3" t="s">
        <v>156</v>
      </c>
      <c r="B14" s="3" t="s">
        <v>112</v>
      </c>
      <c r="C14" s="3" t="s">
        <v>145</v>
      </c>
      <c r="D14" s="3" t="s">
        <v>157</v>
      </c>
      <c r="E14" s="3" t="s">
        <v>115</v>
      </c>
      <c r="F14" s="3">
        <v>5</v>
      </c>
      <c r="G14" s="3" t="s">
        <v>158</v>
      </c>
      <c r="H14" s="6" t="s">
        <v>155</v>
      </c>
      <c r="I14" s="6" t="s">
        <v>134</v>
      </c>
      <c r="J14" s="6"/>
      <c r="K14" s="6"/>
      <c r="L14" s="6"/>
      <c r="M14" s="6" t="s">
        <v>159</v>
      </c>
    </row>
    <row r="15" spans="1:13" ht="68" customHeight="1">
      <c r="A15" s="3" t="s">
        <v>160</v>
      </c>
      <c r="B15" s="3" t="s">
        <v>112</v>
      </c>
      <c r="C15" s="3" t="s">
        <v>161</v>
      </c>
      <c r="D15" s="3" t="s">
        <v>162</v>
      </c>
      <c r="E15" s="3" t="s">
        <v>115</v>
      </c>
      <c r="F15" s="3">
        <v>5</v>
      </c>
      <c r="G15" s="3" t="s">
        <v>163</v>
      </c>
      <c r="H15" s="6" t="s">
        <v>155</v>
      </c>
      <c r="I15" s="6" t="s">
        <v>134</v>
      </c>
      <c r="J15" s="6"/>
      <c r="K15" s="6"/>
      <c r="L15" s="6"/>
      <c r="M15" s="6" t="s">
        <v>164</v>
      </c>
    </row>
    <row r="16" spans="1:13" ht="65" customHeight="1">
      <c r="A16" s="3" t="s">
        <v>165</v>
      </c>
      <c r="B16" s="3" t="s">
        <v>112</v>
      </c>
      <c r="C16" s="3" t="s">
        <v>145</v>
      </c>
      <c r="D16" s="3" t="s">
        <v>166</v>
      </c>
      <c r="E16" s="3" t="s">
        <v>115</v>
      </c>
      <c r="F16" s="3">
        <v>5</v>
      </c>
      <c r="G16" s="3" t="s">
        <v>156</v>
      </c>
      <c r="H16" s="6" t="s">
        <v>167</v>
      </c>
      <c r="I16" s="6" t="s">
        <v>134</v>
      </c>
      <c r="J16" s="6"/>
      <c r="K16" s="6"/>
      <c r="L16" s="6"/>
      <c r="M16" s="6" t="s">
        <v>168</v>
      </c>
    </row>
    <row r="17" spans="1:13" ht="65" customHeight="1">
      <c r="A17" s="3" t="s">
        <v>169</v>
      </c>
      <c r="B17" s="3" t="s">
        <v>170</v>
      </c>
      <c r="C17" s="3" t="s">
        <v>145</v>
      </c>
      <c r="D17" s="3" t="s">
        <v>171</v>
      </c>
      <c r="E17" s="3" t="s">
        <v>115</v>
      </c>
      <c r="F17" s="3">
        <v>8</v>
      </c>
      <c r="G17" s="3" t="s">
        <v>172</v>
      </c>
      <c r="H17" s="6" t="s">
        <v>167</v>
      </c>
      <c r="I17" s="6" t="s">
        <v>134</v>
      </c>
      <c r="J17" s="6"/>
      <c r="K17" s="6"/>
      <c r="L17" s="6"/>
      <c r="M17" s="6" t="s">
        <v>173</v>
      </c>
    </row>
    <row r="18" spans="1:13" ht="65" customHeight="1">
      <c r="A18" s="3" t="s">
        <v>174</v>
      </c>
      <c r="B18" s="3" t="s">
        <v>170</v>
      </c>
      <c r="C18" s="3" t="s">
        <v>145</v>
      </c>
      <c r="D18" s="3" t="s">
        <v>175</v>
      </c>
      <c r="E18" s="3" t="s">
        <v>115</v>
      </c>
      <c r="F18" s="3">
        <v>5</v>
      </c>
      <c r="G18" s="3" t="s">
        <v>176</v>
      </c>
      <c r="H18" s="6" t="s">
        <v>177</v>
      </c>
      <c r="I18" s="6" t="s">
        <v>134</v>
      </c>
      <c r="J18" s="6"/>
      <c r="K18" s="6"/>
      <c r="L18" s="6"/>
      <c r="M18" s="6" t="s">
        <v>178</v>
      </c>
    </row>
    <row r="19" spans="1:13" ht="68" customHeight="1">
      <c r="A19" s="3" t="s">
        <v>179</v>
      </c>
      <c r="B19" s="3" t="s">
        <v>112</v>
      </c>
      <c r="C19" s="3" t="s">
        <v>180</v>
      </c>
      <c r="D19" s="3" t="s">
        <v>181</v>
      </c>
      <c r="E19" s="3" t="s">
        <v>123</v>
      </c>
      <c r="F19" s="3">
        <v>8</v>
      </c>
      <c r="G19" s="3" t="s">
        <v>182</v>
      </c>
      <c r="H19" s="6" t="s">
        <v>177</v>
      </c>
      <c r="I19" s="6" t="s">
        <v>134</v>
      </c>
      <c r="J19" s="6"/>
      <c r="K19" s="6"/>
      <c r="L19" s="6"/>
      <c r="M19" s="6" t="s">
        <v>183</v>
      </c>
    </row>
    <row r="20" spans="1:13" ht="65" customHeight="1">
      <c r="A20" s="3" t="s">
        <v>184</v>
      </c>
      <c r="B20" s="3" t="s">
        <v>112</v>
      </c>
      <c r="C20" s="3" t="s">
        <v>113</v>
      </c>
      <c r="D20" s="3" t="s">
        <v>185</v>
      </c>
      <c r="E20" s="3" t="s">
        <v>123</v>
      </c>
      <c r="F20" s="3">
        <v>8</v>
      </c>
      <c r="G20" s="3" t="s">
        <v>186</v>
      </c>
      <c r="H20" s="6" t="s">
        <v>177</v>
      </c>
      <c r="I20" s="6" t="s">
        <v>134</v>
      </c>
      <c r="J20" s="6"/>
      <c r="K20" s="6"/>
      <c r="L20" s="6"/>
      <c r="M20" s="6" t="s">
        <v>124</v>
      </c>
    </row>
    <row r="21" spans="1:13" ht="65" customHeight="1">
      <c r="A21" s="3" t="s">
        <v>187</v>
      </c>
      <c r="B21" s="3" t="s">
        <v>112</v>
      </c>
      <c r="C21" s="3" t="s">
        <v>180</v>
      </c>
      <c r="D21" s="3" t="s">
        <v>188</v>
      </c>
      <c r="E21" s="3" t="s">
        <v>123</v>
      </c>
      <c r="F21" s="3">
        <v>5</v>
      </c>
      <c r="G21" s="3" t="s">
        <v>189</v>
      </c>
      <c r="H21" s="6" t="s">
        <v>190</v>
      </c>
      <c r="I21" s="6" t="s">
        <v>134</v>
      </c>
      <c r="J21" s="6"/>
      <c r="K21" s="6"/>
      <c r="L21" s="6"/>
      <c r="M21" s="6" t="s">
        <v>124</v>
      </c>
    </row>
    <row r="22" spans="1:13" ht="68" customHeight="1">
      <c r="A22" s="3" t="s">
        <v>191</v>
      </c>
      <c r="B22" s="3" t="s">
        <v>112</v>
      </c>
      <c r="C22" s="3" t="s">
        <v>161</v>
      </c>
      <c r="D22" s="3" t="s">
        <v>192</v>
      </c>
      <c r="E22" s="3" t="s">
        <v>133</v>
      </c>
      <c r="F22" s="3">
        <v>5</v>
      </c>
      <c r="G22" s="3" t="s">
        <v>193</v>
      </c>
      <c r="H22" s="6" t="s">
        <v>190</v>
      </c>
      <c r="I22" s="6" t="s">
        <v>134</v>
      </c>
      <c r="J22" s="6"/>
      <c r="K22" s="6"/>
      <c r="L22" s="6"/>
      <c r="M22" s="6" t="s">
        <v>194</v>
      </c>
    </row>
    <row r="23" spans="1:13" ht="68" customHeight="1">
      <c r="A23" s="3" t="s">
        <v>195</v>
      </c>
      <c r="B23" s="3" t="s">
        <v>112</v>
      </c>
      <c r="C23" s="3" t="s">
        <v>196</v>
      </c>
      <c r="D23" s="3" t="s">
        <v>197</v>
      </c>
      <c r="E23" s="3" t="s">
        <v>198</v>
      </c>
      <c r="F23" s="3">
        <v>5</v>
      </c>
      <c r="G23" s="3" t="s">
        <v>199</v>
      </c>
      <c r="H23" s="6" t="s">
        <v>190</v>
      </c>
      <c r="I23" s="6" t="s">
        <v>134</v>
      </c>
      <c r="J23" s="6"/>
      <c r="K23" s="6"/>
      <c r="L23" s="6"/>
      <c r="M23" s="6" t="s">
        <v>124</v>
      </c>
    </row>
    <row r="24" spans="1:13" ht="96" customHeight="1">
      <c r="A24" s="3" t="s">
        <v>200</v>
      </c>
      <c r="B24" s="3" t="s">
        <v>170</v>
      </c>
      <c r="C24" s="3" t="s">
        <v>201</v>
      </c>
      <c r="D24" s="3" t="s">
        <v>202</v>
      </c>
      <c r="E24" s="3" t="s">
        <v>123</v>
      </c>
      <c r="F24" s="3">
        <v>3</v>
      </c>
      <c r="G24" s="3" t="s">
        <v>136</v>
      </c>
      <c r="H24" s="6" t="s">
        <v>139</v>
      </c>
      <c r="I24" s="6" t="s">
        <v>134</v>
      </c>
      <c r="J24" s="6"/>
      <c r="K24" s="6"/>
      <c r="L24" s="6"/>
      <c r="M24" s="6" t="s">
        <v>203</v>
      </c>
    </row>
    <row r="25" spans="1:13" ht="65" customHeight="1">
      <c r="A25" s="3" t="s">
        <v>204</v>
      </c>
      <c r="B25" s="3" t="s">
        <v>205</v>
      </c>
      <c r="C25" s="3" t="s">
        <v>145</v>
      </c>
      <c r="D25" s="3" t="s">
        <v>206</v>
      </c>
      <c r="E25" s="3" t="s">
        <v>115</v>
      </c>
      <c r="F25" s="3">
        <v>8</v>
      </c>
      <c r="G25" s="3" t="s">
        <v>207</v>
      </c>
      <c r="H25" s="6" t="s">
        <v>205</v>
      </c>
      <c r="I25" s="6" t="s">
        <v>134</v>
      </c>
      <c r="J25" s="6"/>
      <c r="K25" s="6"/>
      <c r="L25" s="6"/>
      <c r="M25" s="6" t="s">
        <v>208</v>
      </c>
    </row>
    <row r="26" spans="1:13" ht="65" customHeight="1">
      <c r="A26" s="3" t="s">
        <v>209</v>
      </c>
      <c r="B26" s="3" t="s">
        <v>205</v>
      </c>
      <c r="C26" s="3" t="s">
        <v>145</v>
      </c>
      <c r="D26" s="3" t="s">
        <v>210</v>
      </c>
      <c r="E26" s="3" t="s">
        <v>115</v>
      </c>
      <c r="F26" s="3">
        <v>8</v>
      </c>
      <c r="G26" s="3" t="s">
        <v>211</v>
      </c>
      <c r="H26" s="6" t="s">
        <v>205</v>
      </c>
      <c r="I26" s="6" t="s">
        <v>134</v>
      </c>
      <c r="J26" s="6"/>
      <c r="K26" s="6"/>
      <c r="L26" s="6"/>
      <c r="M26" s="6" t="s">
        <v>212</v>
      </c>
    </row>
  </sheetData>
  <autoFilter ref="A4:M26"/>
  <mergeCells count="2">
    <mergeCell ref="A1:M1"/>
    <mergeCell ref="A2:M2"/>
  </mergeCells>
  <conditionalFormatting sqref="A5:M504">
    <cfRule type="expression" dxfId="1" priority="2">
      <formula>$I5="Done"</formula>
    </cfRule>
  </conditionalFormatting>
  <conditionalFormatting sqref="I5:I504">
    <cfRule type="cellIs" dxfId="0" priority="3" operator="equal">
      <formula>"Blocked"</formula>
    </cfRule>
  </conditionalFormatting>
  <conditionalFormatting sqref="J5:K504">
    <cfRule type="expression" dxfId="0" priority="1">
      <formula>AND($J5&lt;&gt;"",$J5=$K5)</formula>
    </cfRule>
  </conditionalFormatting>
  <dataValidations count="3">
    <dataValidation type="list" allowBlank="1" showInputMessage="1" showErrorMessage="1" sqref="I5:I504">
      <formula1>"Backlog,Ready,In progress,Review,Done,Blocked,Deferred"</formula1>
    </dataValidation>
    <dataValidation type="list" allowBlank="1" showInputMessage="1" showErrorMessage="1" sqref="J5:K504">
      <formula1>Members</formula1>
    </dataValidation>
    <dataValidation type="list" allowBlank="1" showInputMessage="1" showErrorMessage="1" sqref="H5:H504">
      <formula1>"S1,S2,S3,S4,S5,S6,S7,Stretch,Deferred"</formula1>
    </dataValidation>
  </dataValidations>
  <pageMargins left="0.7" right="0.7" top="0.75" bottom="0.75" header="0.3" footer="0.3"/>
  <pageSetup fitToHeight="0" orientation="landscape"/>
  <headerFooter>
    <oddFooter>Factory Relay | Updated 21 October 2026 | &amp;P</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E26"/>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1.7109375" style="3" customWidth="1"/>
    <col min="2" max="2" width="65.7109375" style="3" customWidth="1"/>
    <col min="3" max="3" width="115.7109375" style="3" customWidth="1"/>
    <col min="4" max="4" width="50.7109375" style="3" customWidth="1"/>
    <col min="5" max="5" width="60.7109375" style="3" customWidth="1"/>
  </cols>
  <sheetData>
    <row r="1" spans="1:5" ht="29" customHeight="1">
      <c r="A1" s="1" t="s">
        <v>213</v>
      </c>
      <c r="B1" s="1"/>
      <c r="C1" s="1"/>
      <c r="D1" s="1"/>
      <c r="E1" s="1"/>
    </row>
    <row r="2" spans="1:5" ht="34" customHeight="1">
      <c r="A2" s="5" t="s">
        <v>214</v>
      </c>
      <c r="B2" s="5"/>
      <c r="C2" s="5"/>
      <c r="D2" s="5"/>
      <c r="E2" s="5"/>
    </row>
    <row r="4" spans="1:5" ht="32" customHeight="1">
      <c r="A4" s="2" t="s">
        <v>35</v>
      </c>
      <c r="B4" s="2" t="s">
        <v>215</v>
      </c>
      <c r="C4" s="2" t="s">
        <v>216</v>
      </c>
      <c r="D4" s="2" t="s">
        <v>217</v>
      </c>
      <c r="E4" s="2" t="s">
        <v>218</v>
      </c>
    </row>
    <row r="5" spans="1:5" ht="210" customHeight="1">
      <c r="A5" s="3" t="s">
        <v>111</v>
      </c>
      <c r="B5" s="3" t="s">
        <v>219</v>
      </c>
      <c r="C5" s="3" t="s">
        <v>220</v>
      </c>
      <c r="D5" s="3" t="s">
        <v>221</v>
      </c>
      <c r="E5" s="3" t="s">
        <v>222</v>
      </c>
    </row>
    <row r="6" spans="1:5" ht="210" customHeight="1">
      <c r="A6" s="3" t="s">
        <v>120</v>
      </c>
      <c r="B6" s="3" t="s">
        <v>223</v>
      </c>
      <c r="C6" s="3" t="s">
        <v>224</v>
      </c>
      <c r="D6" s="3" t="s">
        <v>225</v>
      </c>
      <c r="E6" s="3" t="s">
        <v>226</v>
      </c>
    </row>
    <row r="7" spans="1:5" ht="222" customHeight="1">
      <c r="A7" s="3" t="s">
        <v>125</v>
      </c>
      <c r="B7" s="3" t="s">
        <v>227</v>
      </c>
      <c r="C7" s="3" t="s">
        <v>228</v>
      </c>
      <c r="D7" s="3" t="s">
        <v>229</v>
      </c>
      <c r="E7" s="3" t="s">
        <v>230</v>
      </c>
    </row>
    <row r="8" spans="1:5" ht="210" customHeight="1">
      <c r="A8" s="3" t="s">
        <v>130</v>
      </c>
      <c r="B8" s="3" t="s">
        <v>231</v>
      </c>
      <c r="C8" s="3" t="s">
        <v>232</v>
      </c>
      <c r="D8" s="3" t="s">
        <v>233</v>
      </c>
      <c r="E8" s="3" t="s">
        <v>234</v>
      </c>
    </row>
    <row r="9" spans="1:5" ht="250" customHeight="1">
      <c r="A9" s="3" t="s">
        <v>136</v>
      </c>
      <c r="B9" s="3" t="s">
        <v>235</v>
      </c>
      <c r="C9" s="3" t="s">
        <v>236</v>
      </c>
      <c r="D9" s="3" t="s">
        <v>237</v>
      </c>
      <c r="E9" s="3" t="s">
        <v>238</v>
      </c>
    </row>
    <row r="10" spans="1:5" ht="210" customHeight="1">
      <c r="A10" s="3" t="s">
        <v>140</v>
      </c>
      <c r="B10" s="3" t="s">
        <v>239</v>
      </c>
      <c r="C10" s="3" t="s">
        <v>240</v>
      </c>
      <c r="D10" s="3" t="s">
        <v>241</v>
      </c>
      <c r="E10" s="3" t="s">
        <v>242</v>
      </c>
    </row>
    <row r="11" spans="1:5" ht="210" customHeight="1">
      <c r="A11" s="3" t="s">
        <v>144</v>
      </c>
      <c r="B11" s="3" t="s">
        <v>243</v>
      </c>
      <c r="C11" s="3" t="s">
        <v>244</v>
      </c>
      <c r="D11" s="3" t="s">
        <v>245</v>
      </c>
      <c r="E11" s="3" t="s">
        <v>246</v>
      </c>
    </row>
    <row r="12" spans="1:5" ht="210" customHeight="1">
      <c r="A12" s="3" t="s">
        <v>148</v>
      </c>
      <c r="B12" s="3" t="s">
        <v>247</v>
      </c>
      <c r="C12" s="3" t="s">
        <v>248</v>
      </c>
      <c r="D12" s="3" t="s">
        <v>249</v>
      </c>
      <c r="E12" s="3" t="s">
        <v>250</v>
      </c>
    </row>
    <row r="13" spans="1:5" ht="250" customHeight="1">
      <c r="A13" s="3" t="s">
        <v>152</v>
      </c>
      <c r="B13" s="3" t="s">
        <v>251</v>
      </c>
      <c r="C13" s="3" t="s">
        <v>252</v>
      </c>
      <c r="D13" s="3" t="s">
        <v>253</v>
      </c>
      <c r="E13" s="3" t="s">
        <v>254</v>
      </c>
    </row>
    <row r="14" spans="1:5" ht="210" customHeight="1">
      <c r="A14" s="3" t="s">
        <v>156</v>
      </c>
      <c r="B14" s="3" t="s">
        <v>255</v>
      </c>
      <c r="C14" s="3" t="s">
        <v>256</v>
      </c>
      <c r="D14" s="3" t="s">
        <v>257</v>
      </c>
      <c r="E14" s="3" t="s">
        <v>258</v>
      </c>
    </row>
    <row r="15" spans="1:5" ht="210" customHeight="1">
      <c r="A15" s="3" t="s">
        <v>160</v>
      </c>
      <c r="B15" s="3" t="s">
        <v>259</v>
      </c>
      <c r="C15" s="3" t="s">
        <v>260</v>
      </c>
      <c r="D15" s="3" t="s">
        <v>261</v>
      </c>
      <c r="E15" s="3" t="s">
        <v>262</v>
      </c>
    </row>
    <row r="16" spans="1:5" ht="210" customHeight="1">
      <c r="A16" s="3" t="s">
        <v>165</v>
      </c>
      <c r="B16" s="3" t="s">
        <v>263</v>
      </c>
      <c r="C16" s="3" t="s">
        <v>264</v>
      </c>
      <c r="D16" s="3" t="s">
        <v>265</v>
      </c>
      <c r="E16" s="3" t="s">
        <v>266</v>
      </c>
    </row>
    <row r="17" spans="1:5" ht="210" customHeight="1">
      <c r="A17" s="3" t="s">
        <v>169</v>
      </c>
      <c r="B17" s="3" t="s">
        <v>267</v>
      </c>
      <c r="C17" s="3" t="s">
        <v>268</v>
      </c>
      <c r="D17" s="3" t="s">
        <v>269</v>
      </c>
      <c r="E17" s="3" t="s">
        <v>270</v>
      </c>
    </row>
    <row r="18" spans="1:5" ht="210" customHeight="1">
      <c r="A18" s="3" t="s">
        <v>174</v>
      </c>
      <c r="B18" s="3" t="s">
        <v>271</v>
      </c>
      <c r="C18" s="3" t="s">
        <v>272</v>
      </c>
      <c r="D18" s="3" t="s">
        <v>273</v>
      </c>
      <c r="E18" s="3" t="s">
        <v>274</v>
      </c>
    </row>
    <row r="19" spans="1:5" ht="236" customHeight="1">
      <c r="A19" s="3" t="s">
        <v>179</v>
      </c>
      <c r="B19" s="3" t="s">
        <v>275</v>
      </c>
      <c r="C19" s="3" t="s">
        <v>276</v>
      </c>
      <c r="D19" s="3" t="s">
        <v>277</v>
      </c>
      <c r="E19" s="3" t="s">
        <v>278</v>
      </c>
    </row>
    <row r="20" spans="1:5" ht="210" customHeight="1">
      <c r="A20" s="3" t="s">
        <v>184</v>
      </c>
      <c r="B20" s="3" t="s">
        <v>279</v>
      </c>
      <c r="C20" s="3" t="s">
        <v>280</v>
      </c>
      <c r="D20" s="3" t="s">
        <v>281</v>
      </c>
      <c r="E20" s="3" t="s">
        <v>282</v>
      </c>
    </row>
    <row r="21" spans="1:5" ht="210" customHeight="1">
      <c r="A21" s="3" t="s">
        <v>187</v>
      </c>
      <c r="B21" s="3" t="s">
        <v>283</v>
      </c>
      <c r="C21" s="3" t="s">
        <v>284</v>
      </c>
      <c r="D21" s="3" t="s">
        <v>285</v>
      </c>
      <c r="E21" s="3" t="s">
        <v>286</v>
      </c>
    </row>
    <row r="22" spans="1:5" ht="210" customHeight="1">
      <c r="A22" s="3" t="s">
        <v>191</v>
      </c>
      <c r="B22" s="3" t="s">
        <v>287</v>
      </c>
      <c r="C22" s="3" t="s">
        <v>288</v>
      </c>
      <c r="D22" s="3" t="s">
        <v>289</v>
      </c>
      <c r="E22" s="3" t="s">
        <v>290</v>
      </c>
    </row>
    <row r="23" spans="1:5" ht="210" customHeight="1">
      <c r="A23" s="3" t="s">
        <v>195</v>
      </c>
      <c r="B23" s="3" t="s">
        <v>291</v>
      </c>
      <c r="C23" s="3" t="s">
        <v>292</v>
      </c>
      <c r="D23" s="3" t="s">
        <v>293</v>
      </c>
      <c r="E23" s="3" t="s">
        <v>294</v>
      </c>
    </row>
    <row r="24" spans="1:5" ht="210" customHeight="1">
      <c r="A24" s="3" t="s">
        <v>200</v>
      </c>
      <c r="B24" s="3" t="s">
        <v>295</v>
      </c>
      <c r="C24" s="3" t="s">
        <v>296</v>
      </c>
      <c r="D24" s="3" t="s">
        <v>297</v>
      </c>
      <c r="E24" s="3" t="s">
        <v>298</v>
      </c>
    </row>
    <row r="25" spans="1:5" ht="210" customHeight="1">
      <c r="A25" s="3" t="s">
        <v>204</v>
      </c>
      <c r="B25" s="3" t="s">
        <v>299</v>
      </c>
      <c r="C25" s="3" t="s">
        <v>300</v>
      </c>
      <c r="D25" s="3" t="s">
        <v>301</v>
      </c>
      <c r="E25" s="3" t="s">
        <v>302</v>
      </c>
    </row>
    <row r="26" spans="1:5" ht="210" customHeight="1">
      <c r="A26" s="3" t="s">
        <v>209</v>
      </c>
      <c r="B26" s="3" t="s">
        <v>303</v>
      </c>
      <c r="C26" s="3" t="s">
        <v>304</v>
      </c>
      <c r="D26" s="3" t="s">
        <v>305</v>
      </c>
      <c r="E26" s="3" t="s">
        <v>306</v>
      </c>
    </row>
  </sheetData>
  <autoFilter ref="A4:E26"/>
  <mergeCells count="2">
    <mergeCell ref="A1:E1"/>
    <mergeCell ref="A2:E2"/>
  </mergeCells>
  <pageMargins left="0.7" right="0.7" top="0.75" bottom="0.75" header="0.3" footer="0.3"/>
  <pageSetup fitToHeight="0" orientation="landscape"/>
  <headerFooter>
    <oddFooter>Factory Relay | Updated 21 October 2026 | &amp;P</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J87"/>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style="3" customWidth="1"/>
    <col min="2" max="2" width="12.7109375" style="3" customWidth="1"/>
    <col min="3" max="3" width="80.7109375" style="3" customWidth="1"/>
    <col min="4" max="4" width="43.7109375" style="3" customWidth="1"/>
    <col min="5" max="5" width="12.7109375" style="3" customWidth="1"/>
    <col min="6" max="6" width="17.7109375" style="3" customWidth="1"/>
    <col min="7" max="8" width="18.7109375" style="3" customWidth="1"/>
    <col min="9" max="9" width="50.7109375" style="3" customWidth="1"/>
    <col min="10" max="10" width="40.7109375" style="3" customWidth="1"/>
  </cols>
  <sheetData>
    <row r="1" spans="1:10" ht="29" customHeight="1">
      <c r="A1" s="1" t="s">
        <v>307</v>
      </c>
      <c r="B1" s="1"/>
      <c r="C1" s="1"/>
      <c r="D1" s="1"/>
      <c r="E1" s="1"/>
      <c r="F1" s="1"/>
      <c r="G1" s="1"/>
      <c r="H1" s="1"/>
      <c r="I1" s="1"/>
      <c r="J1" s="1"/>
    </row>
    <row r="2" spans="1:10" ht="34" customHeight="1">
      <c r="A2" s="5" t="s">
        <v>308</v>
      </c>
      <c r="B2" s="5"/>
      <c r="C2" s="5"/>
      <c r="D2" s="5"/>
      <c r="E2" s="5"/>
      <c r="F2" s="5"/>
      <c r="G2" s="5"/>
      <c r="H2" s="5"/>
      <c r="I2" s="5"/>
      <c r="J2" s="5"/>
    </row>
    <row r="4" spans="1:10" ht="32" customHeight="1">
      <c r="A4" s="2" t="s">
        <v>309</v>
      </c>
      <c r="B4" s="2" t="s">
        <v>310</v>
      </c>
      <c r="C4" s="2" t="s">
        <v>311</v>
      </c>
      <c r="D4" s="2" t="s">
        <v>312</v>
      </c>
      <c r="E4" s="2" t="s">
        <v>313</v>
      </c>
      <c r="F4" s="2" t="s">
        <v>106</v>
      </c>
      <c r="G4" s="2" t="s">
        <v>107</v>
      </c>
      <c r="H4" s="2" t="s">
        <v>108</v>
      </c>
      <c r="I4" s="2" t="s">
        <v>314</v>
      </c>
      <c r="J4" s="2" t="s">
        <v>315</v>
      </c>
    </row>
    <row r="5" spans="1:10" ht="60" customHeight="1">
      <c r="A5" s="3" t="s">
        <v>316</v>
      </c>
      <c r="B5" s="3" t="s">
        <v>111</v>
      </c>
      <c r="C5" s="3" t="s">
        <v>317</v>
      </c>
      <c r="D5" s="6" t="s">
        <v>318</v>
      </c>
      <c r="E5" s="6"/>
      <c r="F5" s="6" t="s">
        <v>118</v>
      </c>
      <c r="G5" s="6"/>
      <c r="H5" s="6"/>
      <c r="I5" s="6"/>
      <c r="J5" s="6"/>
    </row>
    <row r="6" spans="1:10" ht="60" customHeight="1">
      <c r="A6" s="3" t="s">
        <v>319</v>
      </c>
      <c r="B6" s="3" t="s">
        <v>111</v>
      </c>
      <c r="C6" s="3" t="s">
        <v>320</v>
      </c>
      <c r="D6" s="6" t="s">
        <v>318</v>
      </c>
      <c r="E6" s="6"/>
      <c r="F6" s="6" t="s">
        <v>118</v>
      </c>
      <c r="G6" s="6"/>
      <c r="H6" s="6"/>
      <c r="I6" s="6"/>
      <c r="J6" s="6"/>
    </row>
    <row r="7" spans="1:10" ht="60" customHeight="1">
      <c r="A7" s="3" t="s">
        <v>321</v>
      </c>
      <c r="B7" s="3" t="s">
        <v>111</v>
      </c>
      <c r="C7" s="3" t="s">
        <v>322</v>
      </c>
      <c r="D7" s="6" t="s">
        <v>318</v>
      </c>
      <c r="E7" s="6"/>
      <c r="F7" s="6" t="s">
        <v>118</v>
      </c>
      <c r="G7" s="6"/>
      <c r="H7" s="6"/>
      <c r="I7" s="6"/>
      <c r="J7" s="6"/>
    </row>
    <row r="8" spans="1:10" ht="60" customHeight="1">
      <c r="A8" s="3" t="s">
        <v>323</v>
      </c>
      <c r="B8" s="3" t="s">
        <v>111</v>
      </c>
      <c r="C8" s="3" t="s">
        <v>324</v>
      </c>
      <c r="D8" s="6" t="s">
        <v>318</v>
      </c>
      <c r="E8" s="6"/>
      <c r="F8" s="6" t="s">
        <v>118</v>
      </c>
      <c r="G8" s="6"/>
      <c r="H8" s="6"/>
      <c r="I8" s="6"/>
      <c r="J8" s="6"/>
    </row>
    <row r="9" spans="1:10" ht="60" customHeight="1">
      <c r="A9" s="3" t="s">
        <v>325</v>
      </c>
      <c r="B9" s="3" t="s">
        <v>120</v>
      </c>
      <c r="C9" s="3" t="s">
        <v>326</v>
      </c>
      <c r="D9" s="6" t="s">
        <v>318</v>
      </c>
      <c r="E9" s="6"/>
      <c r="F9" s="6" t="s">
        <v>118</v>
      </c>
      <c r="G9" s="6"/>
      <c r="H9" s="6"/>
      <c r="I9" s="6"/>
      <c r="J9" s="6"/>
    </row>
    <row r="10" spans="1:10" ht="60" customHeight="1">
      <c r="A10" s="3" t="s">
        <v>327</v>
      </c>
      <c r="B10" s="3" t="s">
        <v>120</v>
      </c>
      <c r="C10" s="3" t="s">
        <v>328</v>
      </c>
      <c r="D10" s="6" t="s">
        <v>318</v>
      </c>
      <c r="E10" s="6"/>
      <c r="F10" s="6" t="s">
        <v>118</v>
      </c>
      <c r="G10" s="6"/>
      <c r="H10" s="6"/>
      <c r="I10" s="6"/>
      <c r="J10" s="6"/>
    </row>
    <row r="11" spans="1:10" ht="60" customHeight="1">
      <c r="A11" s="3" t="s">
        <v>329</v>
      </c>
      <c r="B11" s="3" t="s">
        <v>120</v>
      </c>
      <c r="C11" s="3" t="s">
        <v>330</v>
      </c>
      <c r="D11" s="6" t="s">
        <v>318</v>
      </c>
      <c r="E11" s="6"/>
      <c r="F11" s="6" t="s">
        <v>118</v>
      </c>
      <c r="G11" s="6"/>
      <c r="H11" s="6"/>
      <c r="I11" s="6"/>
      <c r="J11" s="6"/>
    </row>
    <row r="12" spans="1:10" ht="60" customHeight="1">
      <c r="A12" s="3" t="s">
        <v>331</v>
      </c>
      <c r="B12" s="3" t="s">
        <v>120</v>
      </c>
      <c r="C12" s="3" t="s">
        <v>332</v>
      </c>
      <c r="D12" s="6" t="s">
        <v>318</v>
      </c>
      <c r="E12" s="6"/>
      <c r="F12" s="6" t="s">
        <v>118</v>
      </c>
      <c r="G12" s="6"/>
      <c r="H12" s="6"/>
      <c r="I12" s="6"/>
      <c r="J12" s="6"/>
    </row>
    <row r="13" spans="1:10" ht="60" customHeight="1">
      <c r="A13" s="3" t="s">
        <v>333</v>
      </c>
      <c r="B13" s="3" t="s">
        <v>120</v>
      </c>
      <c r="C13" s="3" t="s">
        <v>334</v>
      </c>
      <c r="D13" s="6" t="s">
        <v>318</v>
      </c>
      <c r="E13" s="6"/>
      <c r="F13" s="6" t="s">
        <v>118</v>
      </c>
      <c r="G13" s="6"/>
      <c r="H13" s="6"/>
      <c r="I13" s="6"/>
      <c r="J13" s="6"/>
    </row>
    <row r="14" spans="1:10" ht="60" customHeight="1">
      <c r="A14" s="3" t="s">
        <v>335</v>
      </c>
      <c r="B14" s="3" t="s">
        <v>125</v>
      </c>
      <c r="C14" s="3" t="s">
        <v>336</v>
      </c>
      <c r="D14" s="6" t="s">
        <v>318</v>
      </c>
      <c r="E14" s="6"/>
      <c r="F14" s="6" t="s">
        <v>118</v>
      </c>
      <c r="G14" s="6"/>
      <c r="H14" s="6"/>
      <c r="I14" s="6"/>
      <c r="J14" s="6"/>
    </row>
    <row r="15" spans="1:10" ht="60" customHeight="1">
      <c r="A15" s="3" t="s">
        <v>337</v>
      </c>
      <c r="B15" s="3" t="s">
        <v>125</v>
      </c>
      <c r="C15" s="3" t="s">
        <v>338</v>
      </c>
      <c r="D15" s="6" t="s">
        <v>318</v>
      </c>
      <c r="E15" s="6"/>
      <c r="F15" s="6" t="s">
        <v>118</v>
      </c>
      <c r="G15" s="6"/>
      <c r="H15" s="6"/>
      <c r="I15" s="6"/>
      <c r="J15" s="6"/>
    </row>
    <row r="16" spans="1:10" ht="60" customHeight="1">
      <c r="A16" s="3" t="s">
        <v>339</v>
      </c>
      <c r="B16" s="3" t="s">
        <v>125</v>
      </c>
      <c r="C16" s="3" t="s">
        <v>340</v>
      </c>
      <c r="D16" s="6" t="s">
        <v>318</v>
      </c>
      <c r="E16" s="6"/>
      <c r="F16" s="6" t="s">
        <v>118</v>
      </c>
      <c r="G16" s="6"/>
      <c r="H16" s="6"/>
      <c r="I16" s="6"/>
      <c r="J16" s="6"/>
    </row>
    <row r="17" spans="1:10" ht="60" customHeight="1">
      <c r="A17" s="3" t="s">
        <v>341</v>
      </c>
      <c r="B17" s="3" t="s">
        <v>130</v>
      </c>
      <c r="C17" s="3" t="s">
        <v>342</v>
      </c>
      <c r="D17" s="6" t="s">
        <v>318</v>
      </c>
      <c r="E17" s="6"/>
      <c r="F17" s="6" t="s">
        <v>134</v>
      </c>
      <c r="G17" s="6"/>
      <c r="H17" s="6"/>
      <c r="I17" s="6"/>
      <c r="J17" s="6"/>
    </row>
    <row r="18" spans="1:10" ht="60" customHeight="1">
      <c r="A18" s="3" t="s">
        <v>343</v>
      </c>
      <c r="B18" s="3" t="s">
        <v>130</v>
      </c>
      <c r="C18" s="3" t="s">
        <v>344</v>
      </c>
      <c r="D18" s="6" t="s">
        <v>318</v>
      </c>
      <c r="E18" s="6"/>
      <c r="F18" s="6" t="s">
        <v>134</v>
      </c>
      <c r="G18" s="6"/>
      <c r="H18" s="6"/>
      <c r="I18" s="6"/>
      <c r="J18" s="6"/>
    </row>
    <row r="19" spans="1:10" ht="60" customHeight="1">
      <c r="A19" s="3" t="s">
        <v>345</v>
      </c>
      <c r="B19" s="3" t="s">
        <v>130</v>
      </c>
      <c r="C19" s="3" t="s">
        <v>346</v>
      </c>
      <c r="D19" s="6" t="s">
        <v>318</v>
      </c>
      <c r="E19" s="6"/>
      <c r="F19" s="6" t="s">
        <v>134</v>
      </c>
      <c r="G19" s="6"/>
      <c r="H19" s="6"/>
      <c r="I19" s="6"/>
      <c r="J19" s="6"/>
    </row>
    <row r="20" spans="1:10" ht="60" customHeight="1">
      <c r="A20" s="3" t="s">
        <v>347</v>
      </c>
      <c r="B20" s="3" t="s">
        <v>136</v>
      </c>
      <c r="C20" s="3" t="s">
        <v>348</v>
      </c>
      <c r="D20" s="6" t="s">
        <v>318</v>
      </c>
      <c r="E20" s="6"/>
      <c r="F20" s="6" t="s">
        <v>134</v>
      </c>
      <c r="G20" s="6"/>
      <c r="H20" s="6"/>
      <c r="I20" s="6"/>
      <c r="J20" s="6"/>
    </row>
    <row r="21" spans="1:10" ht="60" customHeight="1">
      <c r="A21" s="3" t="s">
        <v>349</v>
      </c>
      <c r="B21" s="3" t="s">
        <v>136</v>
      </c>
      <c r="C21" s="3" t="s">
        <v>350</v>
      </c>
      <c r="D21" s="6" t="s">
        <v>318</v>
      </c>
      <c r="E21" s="6"/>
      <c r="F21" s="6" t="s">
        <v>134</v>
      </c>
      <c r="G21" s="6"/>
      <c r="H21" s="6"/>
      <c r="I21" s="6"/>
      <c r="J21" s="6"/>
    </row>
    <row r="22" spans="1:10" ht="60" customHeight="1">
      <c r="A22" s="3" t="s">
        <v>351</v>
      </c>
      <c r="B22" s="3" t="s">
        <v>136</v>
      </c>
      <c r="C22" s="3" t="s">
        <v>352</v>
      </c>
      <c r="D22" s="6" t="s">
        <v>318</v>
      </c>
      <c r="E22" s="6"/>
      <c r="F22" s="6" t="s">
        <v>134</v>
      </c>
      <c r="G22" s="6"/>
      <c r="H22" s="6"/>
      <c r="I22" s="6"/>
      <c r="J22" s="6"/>
    </row>
    <row r="23" spans="1:10" ht="60" customHeight="1">
      <c r="A23" s="3" t="s">
        <v>353</v>
      </c>
      <c r="B23" s="3" t="s">
        <v>136</v>
      </c>
      <c r="C23" s="3" t="s">
        <v>354</v>
      </c>
      <c r="D23" s="6" t="s">
        <v>318</v>
      </c>
      <c r="E23" s="6"/>
      <c r="F23" s="6" t="s">
        <v>134</v>
      </c>
      <c r="G23" s="6"/>
      <c r="H23" s="6"/>
      <c r="I23" s="6"/>
      <c r="J23" s="6"/>
    </row>
    <row r="24" spans="1:10" ht="60" customHeight="1">
      <c r="A24" s="3" t="s">
        <v>355</v>
      </c>
      <c r="B24" s="3" t="s">
        <v>136</v>
      </c>
      <c r="C24" s="3" t="s">
        <v>356</v>
      </c>
      <c r="D24" s="6" t="s">
        <v>318</v>
      </c>
      <c r="E24" s="6"/>
      <c r="F24" s="6" t="s">
        <v>134</v>
      </c>
      <c r="G24" s="6"/>
      <c r="H24" s="6"/>
      <c r="I24" s="6"/>
      <c r="J24" s="6"/>
    </row>
    <row r="25" spans="1:10" ht="60" customHeight="1">
      <c r="A25" s="3" t="s">
        <v>357</v>
      </c>
      <c r="B25" s="3" t="s">
        <v>140</v>
      </c>
      <c r="C25" s="3" t="s">
        <v>358</v>
      </c>
      <c r="D25" s="6" t="s">
        <v>318</v>
      </c>
      <c r="E25" s="6"/>
      <c r="F25" s="6" t="s">
        <v>134</v>
      </c>
      <c r="G25" s="6"/>
      <c r="H25" s="6"/>
      <c r="I25" s="6"/>
      <c r="J25" s="6"/>
    </row>
    <row r="26" spans="1:10" ht="60" customHeight="1">
      <c r="A26" s="3" t="s">
        <v>359</v>
      </c>
      <c r="B26" s="3" t="s">
        <v>140</v>
      </c>
      <c r="C26" s="3" t="s">
        <v>360</v>
      </c>
      <c r="D26" s="6" t="s">
        <v>318</v>
      </c>
      <c r="E26" s="6"/>
      <c r="F26" s="6" t="s">
        <v>134</v>
      </c>
      <c r="G26" s="6"/>
      <c r="H26" s="6"/>
      <c r="I26" s="6"/>
      <c r="J26" s="6"/>
    </row>
    <row r="27" spans="1:10" ht="60" customHeight="1">
      <c r="A27" s="3" t="s">
        <v>361</v>
      </c>
      <c r="B27" s="3" t="s">
        <v>140</v>
      </c>
      <c r="C27" s="3" t="s">
        <v>362</v>
      </c>
      <c r="D27" s="6" t="s">
        <v>318</v>
      </c>
      <c r="E27" s="6"/>
      <c r="F27" s="6" t="s">
        <v>134</v>
      </c>
      <c r="G27" s="6"/>
      <c r="H27" s="6"/>
      <c r="I27" s="6"/>
      <c r="J27" s="6"/>
    </row>
    <row r="28" spans="1:10" ht="60" customHeight="1">
      <c r="A28" s="3" t="s">
        <v>363</v>
      </c>
      <c r="B28" s="3" t="s">
        <v>140</v>
      </c>
      <c r="C28" s="3" t="s">
        <v>364</v>
      </c>
      <c r="D28" s="6" t="s">
        <v>318</v>
      </c>
      <c r="E28" s="6"/>
      <c r="F28" s="6" t="s">
        <v>134</v>
      </c>
      <c r="G28" s="6"/>
      <c r="H28" s="6"/>
      <c r="I28" s="6"/>
      <c r="J28" s="6"/>
    </row>
    <row r="29" spans="1:10" ht="60" customHeight="1">
      <c r="A29" s="3" t="s">
        <v>365</v>
      </c>
      <c r="B29" s="3" t="s">
        <v>140</v>
      </c>
      <c r="C29" s="3" t="s">
        <v>366</v>
      </c>
      <c r="D29" s="6" t="s">
        <v>318</v>
      </c>
      <c r="E29" s="6"/>
      <c r="F29" s="6" t="s">
        <v>134</v>
      </c>
      <c r="G29" s="6"/>
      <c r="H29" s="6"/>
      <c r="I29" s="6"/>
      <c r="J29" s="6"/>
    </row>
    <row r="30" spans="1:10" ht="60" customHeight="1">
      <c r="A30" s="3" t="s">
        <v>367</v>
      </c>
      <c r="B30" s="3" t="s">
        <v>144</v>
      </c>
      <c r="C30" s="3" t="s">
        <v>368</v>
      </c>
      <c r="D30" s="6" t="s">
        <v>318</v>
      </c>
      <c r="E30" s="6"/>
      <c r="F30" s="6" t="s">
        <v>134</v>
      </c>
      <c r="G30" s="6"/>
      <c r="H30" s="6"/>
      <c r="I30" s="6"/>
      <c r="J30" s="6"/>
    </row>
    <row r="31" spans="1:10" ht="60" customHeight="1">
      <c r="A31" s="3" t="s">
        <v>369</v>
      </c>
      <c r="B31" s="3" t="s">
        <v>144</v>
      </c>
      <c r="C31" s="3" t="s">
        <v>370</v>
      </c>
      <c r="D31" s="6" t="s">
        <v>318</v>
      </c>
      <c r="E31" s="6"/>
      <c r="F31" s="6" t="s">
        <v>134</v>
      </c>
      <c r="G31" s="6"/>
      <c r="H31" s="6"/>
      <c r="I31" s="6"/>
      <c r="J31" s="6"/>
    </row>
    <row r="32" spans="1:10" ht="60" customHeight="1">
      <c r="A32" s="3" t="s">
        <v>371</v>
      </c>
      <c r="B32" s="3" t="s">
        <v>144</v>
      </c>
      <c r="C32" s="3" t="s">
        <v>372</v>
      </c>
      <c r="D32" s="6" t="s">
        <v>318</v>
      </c>
      <c r="E32" s="6"/>
      <c r="F32" s="6" t="s">
        <v>134</v>
      </c>
      <c r="G32" s="6"/>
      <c r="H32" s="6"/>
      <c r="I32" s="6"/>
      <c r="J32" s="6"/>
    </row>
    <row r="33" spans="1:10" ht="60" customHeight="1">
      <c r="A33" s="3" t="s">
        <v>373</v>
      </c>
      <c r="B33" s="3" t="s">
        <v>148</v>
      </c>
      <c r="C33" s="3" t="s">
        <v>374</v>
      </c>
      <c r="D33" s="6" t="s">
        <v>318</v>
      </c>
      <c r="E33" s="6"/>
      <c r="F33" s="6" t="s">
        <v>134</v>
      </c>
      <c r="G33" s="6"/>
      <c r="H33" s="6"/>
      <c r="I33" s="6"/>
      <c r="J33" s="6"/>
    </row>
    <row r="34" spans="1:10" ht="60" customHeight="1">
      <c r="A34" s="3" t="s">
        <v>375</v>
      </c>
      <c r="B34" s="3" t="s">
        <v>148</v>
      </c>
      <c r="C34" s="3" t="s">
        <v>376</v>
      </c>
      <c r="D34" s="6" t="s">
        <v>318</v>
      </c>
      <c r="E34" s="6"/>
      <c r="F34" s="6" t="s">
        <v>134</v>
      </c>
      <c r="G34" s="6"/>
      <c r="H34" s="6"/>
      <c r="I34" s="6"/>
      <c r="J34" s="6"/>
    </row>
    <row r="35" spans="1:10" ht="60" customHeight="1">
      <c r="A35" s="3" t="s">
        <v>377</v>
      </c>
      <c r="B35" s="3" t="s">
        <v>148</v>
      </c>
      <c r="C35" s="3" t="s">
        <v>378</v>
      </c>
      <c r="D35" s="6" t="s">
        <v>318</v>
      </c>
      <c r="E35" s="6"/>
      <c r="F35" s="6" t="s">
        <v>134</v>
      </c>
      <c r="G35" s="6"/>
      <c r="H35" s="6"/>
      <c r="I35" s="6"/>
      <c r="J35" s="6"/>
    </row>
    <row r="36" spans="1:10" ht="60" customHeight="1">
      <c r="A36" s="3" t="s">
        <v>379</v>
      </c>
      <c r="B36" s="3" t="s">
        <v>152</v>
      </c>
      <c r="C36" s="3" t="s">
        <v>380</v>
      </c>
      <c r="D36" s="6" t="s">
        <v>318</v>
      </c>
      <c r="E36" s="6"/>
      <c r="F36" s="6" t="s">
        <v>134</v>
      </c>
      <c r="G36" s="6"/>
      <c r="H36" s="6"/>
      <c r="I36" s="6"/>
      <c r="J36" s="6"/>
    </row>
    <row r="37" spans="1:10" ht="60" customHeight="1">
      <c r="A37" s="3" t="s">
        <v>381</v>
      </c>
      <c r="B37" s="3" t="s">
        <v>152</v>
      </c>
      <c r="C37" s="3" t="s">
        <v>382</v>
      </c>
      <c r="D37" s="6" t="s">
        <v>318</v>
      </c>
      <c r="E37" s="6"/>
      <c r="F37" s="6" t="s">
        <v>134</v>
      </c>
      <c r="G37" s="6"/>
      <c r="H37" s="6"/>
      <c r="I37" s="6"/>
      <c r="J37" s="6"/>
    </row>
    <row r="38" spans="1:10" ht="60" customHeight="1">
      <c r="A38" s="3" t="s">
        <v>383</v>
      </c>
      <c r="B38" s="3" t="s">
        <v>152</v>
      </c>
      <c r="C38" s="3" t="s">
        <v>384</v>
      </c>
      <c r="D38" s="6" t="s">
        <v>318</v>
      </c>
      <c r="E38" s="6"/>
      <c r="F38" s="6" t="s">
        <v>134</v>
      </c>
      <c r="G38" s="6"/>
      <c r="H38" s="6"/>
      <c r="I38" s="6"/>
      <c r="J38" s="6"/>
    </row>
    <row r="39" spans="1:10" ht="60" customHeight="1">
      <c r="A39" s="3" t="s">
        <v>385</v>
      </c>
      <c r="B39" s="3" t="s">
        <v>152</v>
      </c>
      <c r="C39" s="3" t="s">
        <v>386</v>
      </c>
      <c r="D39" s="6" t="s">
        <v>318</v>
      </c>
      <c r="E39" s="6"/>
      <c r="F39" s="6" t="s">
        <v>134</v>
      </c>
      <c r="G39" s="6"/>
      <c r="H39" s="6"/>
      <c r="I39" s="6"/>
      <c r="J39" s="6"/>
    </row>
    <row r="40" spans="1:10" ht="60" customHeight="1">
      <c r="A40" s="3" t="s">
        <v>387</v>
      </c>
      <c r="B40" s="3" t="s">
        <v>152</v>
      </c>
      <c r="C40" s="3" t="s">
        <v>388</v>
      </c>
      <c r="D40" s="6" t="s">
        <v>318</v>
      </c>
      <c r="E40" s="6"/>
      <c r="F40" s="6" t="s">
        <v>134</v>
      </c>
      <c r="G40" s="6"/>
      <c r="H40" s="6"/>
      <c r="I40" s="6"/>
      <c r="J40" s="6"/>
    </row>
    <row r="41" spans="1:10" ht="60" customHeight="1">
      <c r="A41" s="3" t="s">
        <v>389</v>
      </c>
      <c r="B41" s="3" t="s">
        <v>156</v>
      </c>
      <c r="C41" s="3" t="s">
        <v>390</v>
      </c>
      <c r="D41" s="6" t="s">
        <v>318</v>
      </c>
      <c r="E41" s="6"/>
      <c r="F41" s="6" t="s">
        <v>134</v>
      </c>
      <c r="G41" s="6"/>
      <c r="H41" s="6"/>
      <c r="I41" s="6"/>
      <c r="J41" s="6"/>
    </row>
    <row r="42" spans="1:10" ht="60" customHeight="1">
      <c r="A42" s="3" t="s">
        <v>391</v>
      </c>
      <c r="B42" s="3" t="s">
        <v>156</v>
      </c>
      <c r="C42" s="3" t="s">
        <v>392</v>
      </c>
      <c r="D42" s="6" t="s">
        <v>318</v>
      </c>
      <c r="E42" s="6"/>
      <c r="F42" s="6" t="s">
        <v>134</v>
      </c>
      <c r="G42" s="6"/>
      <c r="H42" s="6"/>
      <c r="I42" s="6"/>
      <c r="J42" s="6"/>
    </row>
    <row r="43" spans="1:10" ht="60" customHeight="1">
      <c r="A43" s="3" t="s">
        <v>393</v>
      </c>
      <c r="B43" s="3" t="s">
        <v>156</v>
      </c>
      <c r="C43" s="3" t="s">
        <v>394</v>
      </c>
      <c r="D43" s="6" t="s">
        <v>318</v>
      </c>
      <c r="E43" s="6"/>
      <c r="F43" s="6" t="s">
        <v>134</v>
      </c>
      <c r="G43" s="6"/>
      <c r="H43" s="6"/>
      <c r="I43" s="6"/>
      <c r="J43" s="6"/>
    </row>
    <row r="44" spans="1:10" ht="60" customHeight="1">
      <c r="A44" s="3" t="s">
        <v>395</v>
      </c>
      <c r="B44" s="3" t="s">
        <v>160</v>
      </c>
      <c r="C44" s="3" t="s">
        <v>396</v>
      </c>
      <c r="D44" s="6" t="s">
        <v>318</v>
      </c>
      <c r="E44" s="6"/>
      <c r="F44" s="6" t="s">
        <v>134</v>
      </c>
      <c r="G44" s="6"/>
      <c r="H44" s="6"/>
      <c r="I44" s="6"/>
      <c r="J44" s="6"/>
    </row>
    <row r="45" spans="1:10" ht="60" customHeight="1">
      <c r="A45" s="3" t="s">
        <v>397</v>
      </c>
      <c r="B45" s="3" t="s">
        <v>160</v>
      </c>
      <c r="C45" s="3" t="s">
        <v>398</v>
      </c>
      <c r="D45" s="6" t="s">
        <v>318</v>
      </c>
      <c r="E45" s="6"/>
      <c r="F45" s="6" t="s">
        <v>134</v>
      </c>
      <c r="G45" s="6"/>
      <c r="H45" s="6"/>
      <c r="I45" s="6"/>
      <c r="J45" s="6"/>
    </row>
    <row r="46" spans="1:10" ht="60" customHeight="1">
      <c r="A46" s="3" t="s">
        <v>399</v>
      </c>
      <c r="B46" s="3" t="s">
        <v>160</v>
      </c>
      <c r="C46" s="3" t="s">
        <v>400</v>
      </c>
      <c r="D46" s="6" t="s">
        <v>318</v>
      </c>
      <c r="E46" s="6"/>
      <c r="F46" s="6" t="s">
        <v>134</v>
      </c>
      <c r="G46" s="6"/>
      <c r="H46" s="6"/>
      <c r="I46" s="6"/>
      <c r="J46" s="6"/>
    </row>
    <row r="47" spans="1:10" ht="60" customHeight="1">
      <c r="A47" s="3" t="s">
        <v>401</v>
      </c>
      <c r="B47" s="3" t="s">
        <v>165</v>
      </c>
      <c r="C47" s="3" t="s">
        <v>402</v>
      </c>
      <c r="D47" s="6" t="s">
        <v>318</v>
      </c>
      <c r="E47" s="6"/>
      <c r="F47" s="6" t="s">
        <v>134</v>
      </c>
      <c r="G47" s="6"/>
      <c r="H47" s="6"/>
      <c r="I47" s="6"/>
      <c r="J47" s="6"/>
    </row>
    <row r="48" spans="1:10" ht="60" customHeight="1">
      <c r="A48" s="3" t="s">
        <v>403</v>
      </c>
      <c r="B48" s="3" t="s">
        <v>165</v>
      </c>
      <c r="C48" s="3" t="s">
        <v>404</v>
      </c>
      <c r="D48" s="6" t="s">
        <v>318</v>
      </c>
      <c r="E48" s="6"/>
      <c r="F48" s="6" t="s">
        <v>134</v>
      </c>
      <c r="G48" s="6"/>
      <c r="H48" s="6"/>
      <c r="I48" s="6"/>
      <c r="J48" s="6"/>
    </row>
    <row r="49" spans="1:10" ht="60" customHeight="1">
      <c r="A49" s="3" t="s">
        <v>405</v>
      </c>
      <c r="B49" s="3" t="s">
        <v>165</v>
      </c>
      <c r="C49" s="3" t="s">
        <v>406</v>
      </c>
      <c r="D49" s="6" t="s">
        <v>318</v>
      </c>
      <c r="E49" s="6"/>
      <c r="F49" s="6" t="s">
        <v>134</v>
      </c>
      <c r="G49" s="6"/>
      <c r="H49" s="6"/>
      <c r="I49" s="6"/>
      <c r="J49" s="6"/>
    </row>
    <row r="50" spans="1:10" ht="60" customHeight="1">
      <c r="A50" s="3" t="s">
        <v>407</v>
      </c>
      <c r="B50" s="3" t="s">
        <v>169</v>
      </c>
      <c r="C50" s="3" t="s">
        <v>408</v>
      </c>
      <c r="D50" s="6" t="s">
        <v>318</v>
      </c>
      <c r="E50" s="6"/>
      <c r="F50" s="6" t="s">
        <v>134</v>
      </c>
      <c r="G50" s="6"/>
      <c r="H50" s="6"/>
      <c r="I50" s="6"/>
      <c r="J50" s="6"/>
    </row>
    <row r="51" spans="1:10" ht="60" customHeight="1">
      <c r="A51" s="3" t="s">
        <v>409</v>
      </c>
      <c r="B51" s="3" t="s">
        <v>169</v>
      </c>
      <c r="C51" s="3" t="s">
        <v>410</v>
      </c>
      <c r="D51" s="6" t="s">
        <v>318</v>
      </c>
      <c r="E51" s="6"/>
      <c r="F51" s="6" t="s">
        <v>134</v>
      </c>
      <c r="G51" s="6"/>
      <c r="H51" s="6"/>
      <c r="I51" s="6"/>
      <c r="J51" s="6"/>
    </row>
    <row r="52" spans="1:10" ht="60" customHeight="1">
      <c r="A52" s="3" t="s">
        <v>411</v>
      </c>
      <c r="B52" s="3" t="s">
        <v>169</v>
      </c>
      <c r="C52" s="3" t="s">
        <v>412</v>
      </c>
      <c r="D52" s="6" t="s">
        <v>318</v>
      </c>
      <c r="E52" s="6"/>
      <c r="F52" s="6" t="s">
        <v>134</v>
      </c>
      <c r="G52" s="6"/>
      <c r="H52" s="6"/>
      <c r="I52" s="6"/>
      <c r="J52" s="6"/>
    </row>
    <row r="53" spans="1:10" ht="60" customHeight="1">
      <c r="A53" s="3" t="s">
        <v>413</v>
      </c>
      <c r="B53" s="3" t="s">
        <v>174</v>
      </c>
      <c r="C53" s="3" t="s">
        <v>414</v>
      </c>
      <c r="D53" s="6" t="s">
        <v>318</v>
      </c>
      <c r="E53" s="6"/>
      <c r="F53" s="6" t="s">
        <v>134</v>
      </c>
      <c r="G53" s="6"/>
      <c r="H53" s="6"/>
      <c r="I53" s="6"/>
      <c r="J53" s="6"/>
    </row>
    <row r="54" spans="1:10" ht="60" customHeight="1">
      <c r="A54" s="3" t="s">
        <v>415</v>
      </c>
      <c r="B54" s="3" t="s">
        <v>174</v>
      </c>
      <c r="C54" s="3" t="s">
        <v>416</v>
      </c>
      <c r="D54" s="6" t="s">
        <v>318</v>
      </c>
      <c r="E54" s="6"/>
      <c r="F54" s="6" t="s">
        <v>134</v>
      </c>
      <c r="G54" s="6"/>
      <c r="H54" s="6"/>
      <c r="I54" s="6"/>
      <c r="J54" s="6"/>
    </row>
    <row r="55" spans="1:10" ht="60" customHeight="1">
      <c r="A55" s="3" t="s">
        <v>417</v>
      </c>
      <c r="B55" s="3" t="s">
        <v>174</v>
      </c>
      <c r="C55" s="3" t="s">
        <v>418</v>
      </c>
      <c r="D55" s="6" t="s">
        <v>318</v>
      </c>
      <c r="E55" s="6"/>
      <c r="F55" s="6" t="s">
        <v>134</v>
      </c>
      <c r="G55" s="6"/>
      <c r="H55" s="6"/>
      <c r="I55" s="6"/>
      <c r="J55" s="6"/>
    </row>
    <row r="56" spans="1:10" ht="60" customHeight="1">
      <c r="A56" s="3" t="s">
        <v>419</v>
      </c>
      <c r="B56" s="3" t="s">
        <v>179</v>
      </c>
      <c r="C56" s="3" t="s">
        <v>420</v>
      </c>
      <c r="D56" s="6" t="s">
        <v>318</v>
      </c>
      <c r="E56" s="6"/>
      <c r="F56" s="6" t="s">
        <v>134</v>
      </c>
      <c r="G56" s="6"/>
      <c r="H56" s="6"/>
      <c r="I56" s="6"/>
      <c r="J56" s="6"/>
    </row>
    <row r="57" spans="1:10" ht="60" customHeight="1">
      <c r="A57" s="3" t="s">
        <v>421</v>
      </c>
      <c r="B57" s="3" t="s">
        <v>179</v>
      </c>
      <c r="C57" s="3" t="s">
        <v>422</v>
      </c>
      <c r="D57" s="6" t="s">
        <v>318</v>
      </c>
      <c r="E57" s="6"/>
      <c r="F57" s="6" t="s">
        <v>134</v>
      </c>
      <c r="G57" s="6"/>
      <c r="H57" s="6"/>
      <c r="I57" s="6"/>
      <c r="J57" s="6"/>
    </row>
    <row r="58" spans="1:10" ht="60" customHeight="1">
      <c r="A58" s="3" t="s">
        <v>423</v>
      </c>
      <c r="B58" s="3" t="s">
        <v>179</v>
      </c>
      <c r="C58" s="3" t="s">
        <v>424</v>
      </c>
      <c r="D58" s="6" t="s">
        <v>318</v>
      </c>
      <c r="E58" s="6"/>
      <c r="F58" s="6" t="s">
        <v>134</v>
      </c>
      <c r="G58" s="6"/>
      <c r="H58" s="6"/>
      <c r="I58" s="6"/>
      <c r="J58" s="6"/>
    </row>
    <row r="59" spans="1:10" ht="60" customHeight="1">
      <c r="A59" s="3" t="s">
        <v>425</v>
      </c>
      <c r="B59" s="3" t="s">
        <v>179</v>
      </c>
      <c r="C59" s="3" t="s">
        <v>426</v>
      </c>
      <c r="D59" s="6" t="s">
        <v>318</v>
      </c>
      <c r="E59" s="6"/>
      <c r="F59" s="6" t="s">
        <v>134</v>
      </c>
      <c r="G59" s="6"/>
      <c r="H59" s="6"/>
      <c r="I59" s="6"/>
      <c r="J59" s="6"/>
    </row>
    <row r="60" spans="1:10" ht="60" customHeight="1">
      <c r="A60" s="3" t="s">
        <v>427</v>
      </c>
      <c r="B60" s="3" t="s">
        <v>179</v>
      </c>
      <c r="C60" s="3" t="s">
        <v>428</v>
      </c>
      <c r="D60" s="6" t="s">
        <v>318</v>
      </c>
      <c r="E60" s="6"/>
      <c r="F60" s="6" t="s">
        <v>134</v>
      </c>
      <c r="G60" s="6"/>
      <c r="H60" s="6"/>
      <c r="I60" s="6"/>
      <c r="J60" s="6"/>
    </row>
    <row r="61" spans="1:10" ht="60" customHeight="1">
      <c r="A61" s="3" t="s">
        <v>429</v>
      </c>
      <c r="B61" s="3" t="s">
        <v>184</v>
      </c>
      <c r="C61" s="3" t="s">
        <v>430</v>
      </c>
      <c r="D61" s="6" t="s">
        <v>318</v>
      </c>
      <c r="E61" s="6"/>
      <c r="F61" s="6" t="s">
        <v>134</v>
      </c>
      <c r="G61" s="6"/>
      <c r="H61" s="6"/>
      <c r="I61" s="6"/>
      <c r="J61" s="6"/>
    </row>
    <row r="62" spans="1:10" ht="60" customHeight="1">
      <c r="A62" s="3" t="s">
        <v>431</v>
      </c>
      <c r="B62" s="3" t="s">
        <v>184</v>
      </c>
      <c r="C62" s="3" t="s">
        <v>432</v>
      </c>
      <c r="D62" s="6" t="s">
        <v>318</v>
      </c>
      <c r="E62" s="6"/>
      <c r="F62" s="6" t="s">
        <v>134</v>
      </c>
      <c r="G62" s="6"/>
      <c r="H62" s="6"/>
      <c r="I62" s="6"/>
      <c r="J62" s="6"/>
    </row>
    <row r="63" spans="1:10" ht="60" customHeight="1">
      <c r="A63" s="3" t="s">
        <v>433</v>
      </c>
      <c r="B63" s="3" t="s">
        <v>184</v>
      </c>
      <c r="C63" s="3" t="s">
        <v>434</v>
      </c>
      <c r="D63" s="6" t="s">
        <v>318</v>
      </c>
      <c r="E63" s="6"/>
      <c r="F63" s="6" t="s">
        <v>134</v>
      </c>
      <c r="G63" s="6"/>
      <c r="H63" s="6"/>
      <c r="I63" s="6"/>
      <c r="J63" s="6"/>
    </row>
    <row r="64" spans="1:10" ht="60" customHeight="1">
      <c r="A64" s="3" t="s">
        <v>435</v>
      </c>
      <c r="B64" s="3" t="s">
        <v>184</v>
      </c>
      <c r="C64" s="3" t="s">
        <v>436</v>
      </c>
      <c r="D64" s="6" t="s">
        <v>318</v>
      </c>
      <c r="E64" s="6"/>
      <c r="F64" s="6" t="s">
        <v>134</v>
      </c>
      <c r="G64" s="6"/>
      <c r="H64" s="6"/>
      <c r="I64" s="6"/>
      <c r="J64" s="6"/>
    </row>
    <row r="65" spans="1:10" ht="60" customHeight="1">
      <c r="A65" s="3" t="s">
        <v>437</v>
      </c>
      <c r="B65" s="3" t="s">
        <v>184</v>
      </c>
      <c r="C65" s="3" t="s">
        <v>438</v>
      </c>
      <c r="D65" s="6" t="s">
        <v>318</v>
      </c>
      <c r="E65" s="6"/>
      <c r="F65" s="6" t="s">
        <v>134</v>
      </c>
      <c r="G65" s="6"/>
      <c r="H65" s="6"/>
      <c r="I65" s="6"/>
      <c r="J65" s="6"/>
    </row>
    <row r="66" spans="1:10" ht="60" customHeight="1">
      <c r="A66" s="3" t="s">
        <v>439</v>
      </c>
      <c r="B66" s="3" t="s">
        <v>187</v>
      </c>
      <c r="C66" s="3" t="s">
        <v>440</v>
      </c>
      <c r="D66" s="6" t="s">
        <v>318</v>
      </c>
      <c r="E66" s="6"/>
      <c r="F66" s="6" t="s">
        <v>134</v>
      </c>
      <c r="G66" s="6"/>
      <c r="H66" s="6"/>
      <c r="I66" s="6"/>
      <c r="J66" s="6"/>
    </row>
    <row r="67" spans="1:10" ht="60" customHeight="1">
      <c r="A67" s="3" t="s">
        <v>441</v>
      </c>
      <c r="B67" s="3" t="s">
        <v>187</v>
      </c>
      <c r="C67" s="3" t="s">
        <v>442</v>
      </c>
      <c r="D67" s="6" t="s">
        <v>318</v>
      </c>
      <c r="E67" s="6"/>
      <c r="F67" s="6" t="s">
        <v>134</v>
      </c>
      <c r="G67" s="6"/>
      <c r="H67" s="6"/>
      <c r="I67" s="6"/>
      <c r="J67" s="6"/>
    </row>
    <row r="68" spans="1:10" ht="60" customHeight="1">
      <c r="A68" s="3" t="s">
        <v>443</v>
      </c>
      <c r="B68" s="3" t="s">
        <v>187</v>
      </c>
      <c r="C68" s="3" t="s">
        <v>444</v>
      </c>
      <c r="D68" s="6" t="s">
        <v>318</v>
      </c>
      <c r="E68" s="6"/>
      <c r="F68" s="6" t="s">
        <v>134</v>
      </c>
      <c r="G68" s="6"/>
      <c r="H68" s="6"/>
      <c r="I68" s="6"/>
      <c r="J68" s="6"/>
    </row>
    <row r="69" spans="1:10" ht="60" customHeight="1">
      <c r="A69" s="3" t="s">
        <v>445</v>
      </c>
      <c r="B69" s="3" t="s">
        <v>187</v>
      </c>
      <c r="C69" s="3" t="s">
        <v>446</v>
      </c>
      <c r="D69" s="6" t="s">
        <v>318</v>
      </c>
      <c r="E69" s="6"/>
      <c r="F69" s="6" t="s">
        <v>134</v>
      </c>
      <c r="G69" s="6"/>
      <c r="H69" s="6"/>
      <c r="I69" s="6"/>
      <c r="J69" s="6"/>
    </row>
    <row r="70" spans="1:10" ht="60" customHeight="1">
      <c r="A70" s="3" t="s">
        <v>447</v>
      </c>
      <c r="B70" s="3" t="s">
        <v>187</v>
      </c>
      <c r="C70" s="3" t="s">
        <v>448</v>
      </c>
      <c r="D70" s="6" t="s">
        <v>318</v>
      </c>
      <c r="E70" s="6"/>
      <c r="F70" s="6" t="s">
        <v>134</v>
      </c>
      <c r="G70" s="6"/>
      <c r="H70" s="6"/>
      <c r="I70" s="6"/>
      <c r="J70" s="6"/>
    </row>
    <row r="71" spans="1:10" ht="60" customHeight="1">
      <c r="A71" s="3" t="s">
        <v>449</v>
      </c>
      <c r="B71" s="3" t="s">
        <v>191</v>
      </c>
      <c r="C71" s="3" t="s">
        <v>450</v>
      </c>
      <c r="D71" s="6" t="s">
        <v>318</v>
      </c>
      <c r="E71" s="6"/>
      <c r="F71" s="6" t="s">
        <v>134</v>
      </c>
      <c r="G71" s="6"/>
      <c r="H71" s="6"/>
      <c r="I71" s="6"/>
      <c r="J71" s="6"/>
    </row>
    <row r="72" spans="1:10" ht="60" customHeight="1">
      <c r="A72" s="3" t="s">
        <v>451</v>
      </c>
      <c r="B72" s="3" t="s">
        <v>191</v>
      </c>
      <c r="C72" s="3" t="s">
        <v>452</v>
      </c>
      <c r="D72" s="6" t="s">
        <v>318</v>
      </c>
      <c r="E72" s="6"/>
      <c r="F72" s="6" t="s">
        <v>134</v>
      </c>
      <c r="G72" s="6"/>
      <c r="H72" s="6"/>
      <c r="I72" s="6"/>
      <c r="J72" s="6"/>
    </row>
    <row r="73" spans="1:10" ht="68" customHeight="1">
      <c r="A73" s="3" t="s">
        <v>453</v>
      </c>
      <c r="B73" s="3" t="s">
        <v>191</v>
      </c>
      <c r="C73" s="3" t="s">
        <v>454</v>
      </c>
      <c r="D73" s="6" t="s">
        <v>318</v>
      </c>
      <c r="E73" s="6"/>
      <c r="F73" s="6" t="s">
        <v>134</v>
      </c>
      <c r="G73" s="6"/>
      <c r="H73" s="6"/>
      <c r="I73" s="6"/>
      <c r="J73" s="6"/>
    </row>
    <row r="74" spans="1:10" ht="60" customHeight="1">
      <c r="A74" s="3" t="s">
        <v>455</v>
      </c>
      <c r="B74" s="3" t="s">
        <v>195</v>
      </c>
      <c r="C74" s="3" t="s">
        <v>456</v>
      </c>
      <c r="D74" s="6" t="s">
        <v>318</v>
      </c>
      <c r="E74" s="6"/>
      <c r="F74" s="6" t="s">
        <v>134</v>
      </c>
      <c r="G74" s="6"/>
      <c r="H74" s="6"/>
      <c r="I74" s="6"/>
      <c r="J74" s="6"/>
    </row>
    <row r="75" spans="1:10" ht="60" customHeight="1">
      <c r="A75" s="3" t="s">
        <v>457</v>
      </c>
      <c r="B75" s="3" t="s">
        <v>195</v>
      </c>
      <c r="C75" s="3" t="s">
        <v>458</v>
      </c>
      <c r="D75" s="6" t="s">
        <v>318</v>
      </c>
      <c r="E75" s="6"/>
      <c r="F75" s="6" t="s">
        <v>134</v>
      </c>
      <c r="G75" s="6"/>
      <c r="H75" s="6"/>
      <c r="I75" s="6"/>
      <c r="J75" s="6"/>
    </row>
    <row r="76" spans="1:10" ht="60" customHeight="1">
      <c r="A76" s="3" t="s">
        <v>459</v>
      </c>
      <c r="B76" s="3" t="s">
        <v>195</v>
      </c>
      <c r="C76" s="3" t="s">
        <v>460</v>
      </c>
      <c r="D76" s="6" t="s">
        <v>318</v>
      </c>
      <c r="E76" s="6"/>
      <c r="F76" s="6" t="s">
        <v>134</v>
      </c>
      <c r="G76" s="6"/>
      <c r="H76" s="6"/>
      <c r="I76" s="6"/>
      <c r="J76" s="6"/>
    </row>
    <row r="77" spans="1:10" ht="60" customHeight="1">
      <c r="A77" s="3" t="s">
        <v>461</v>
      </c>
      <c r="B77" s="3" t="s">
        <v>195</v>
      </c>
      <c r="C77" s="3" t="s">
        <v>462</v>
      </c>
      <c r="D77" s="6" t="s">
        <v>318</v>
      </c>
      <c r="E77" s="6"/>
      <c r="F77" s="6" t="s">
        <v>134</v>
      </c>
      <c r="G77" s="6"/>
      <c r="H77" s="6"/>
      <c r="I77" s="6"/>
      <c r="J77" s="6"/>
    </row>
    <row r="78" spans="1:10" ht="60" customHeight="1">
      <c r="A78" s="3" t="s">
        <v>463</v>
      </c>
      <c r="B78" s="3" t="s">
        <v>195</v>
      </c>
      <c r="C78" s="3" t="s">
        <v>464</v>
      </c>
      <c r="D78" s="6" t="s">
        <v>318</v>
      </c>
      <c r="E78" s="6"/>
      <c r="F78" s="6" t="s">
        <v>134</v>
      </c>
      <c r="G78" s="6"/>
      <c r="H78" s="6"/>
      <c r="I78" s="6"/>
      <c r="J78" s="6"/>
    </row>
    <row r="79" spans="1:10" ht="60" customHeight="1">
      <c r="A79" s="3" t="s">
        <v>465</v>
      </c>
      <c r="B79" s="3" t="s">
        <v>200</v>
      </c>
      <c r="C79" s="3" t="s">
        <v>466</v>
      </c>
      <c r="D79" s="6" t="s">
        <v>318</v>
      </c>
      <c r="E79" s="6"/>
      <c r="F79" s="6" t="s">
        <v>134</v>
      </c>
      <c r="G79" s="6"/>
      <c r="H79" s="6"/>
      <c r="I79" s="6"/>
      <c r="J79" s="6"/>
    </row>
    <row r="80" spans="1:10" ht="60" customHeight="1">
      <c r="A80" s="3" t="s">
        <v>467</v>
      </c>
      <c r="B80" s="3" t="s">
        <v>200</v>
      </c>
      <c r="C80" s="3" t="s">
        <v>468</v>
      </c>
      <c r="D80" s="6" t="s">
        <v>318</v>
      </c>
      <c r="E80" s="6"/>
      <c r="F80" s="6" t="s">
        <v>134</v>
      </c>
      <c r="G80" s="6"/>
      <c r="H80" s="6"/>
      <c r="I80" s="6"/>
      <c r="J80" s="6"/>
    </row>
    <row r="81" spans="1:10" ht="60" customHeight="1">
      <c r="A81" s="3" t="s">
        <v>469</v>
      </c>
      <c r="B81" s="3" t="s">
        <v>200</v>
      </c>
      <c r="C81" s="3" t="s">
        <v>470</v>
      </c>
      <c r="D81" s="6" t="s">
        <v>318</v>
      </c>
      <c r="E81" s="6"/>
      <c r="F81" s="6" t="s">
        <v>134</v>
      </c>
      <c r="G81" s="6"/>
      <c r="H81" s="6"/>
      <c r="I81" s="6"/>
      <c r="J81" s="6"/>
    </row>
    <row r="82" spans="1:10" ht="60" customHeight="1">
      <c r="A82" s="3" t="s">
        <v>471</v>
      </c>
      <c r="B82" s="3" t="s">
        <v>204</v>
      </c>
      <c r="C82" s="3" t="s">
        <v>472</v>
      </c>
      <c r="D82" s="6" t="s">
        <v>318</v>
      </c>
      <c r="E82" s="6"/>
      <c r="F82" s="6" t="s">
        <v>134</v>
      </c>
      <c r="G82" s="6"/>
      <c r="H82" s="6"/>
      <c r="I82" s="6"/>
      <c r="J82" s="6"/>
    </row>
    <row r="83" spans="1:10" ht="60" customHeight="1">
      <c r="A83" s="3" t="s">
        <v>473</v>
      </c>
      <c r="B83" s="3" t="s">
        <v>204</v>
      </c>
      <c r="C83" s="3" t="s">
        <v>474</v>
      </c>
      <c r="D83" s="6" t="s">
        <v>318</v>
      </c>
      <c r="E83" s="6"/>
      <c r="F83" s="6" t="s">
        <v>134</v>
      </c>
      <c r="G83" s="6"/>
      <c r="H83" s="6"/>
      <c r="I83" s="6"/>
      <c r="J83" s="6"/>
    </row>
    <row r="84" spans="1:10" ht="60" customHeight="1">
      <c r="A84" s="3" t="s">
        <v>475</v>
      </c>
      <c r="B84" s="3" t="s">
        <v>204</v>
      </c>
      <c r="C84" s="3" t="s">
        <v>476</v>
      </c>
      <c r="D84" s="6" t="s">
        <v>318</v>
      </c>
      <c r="E84" s="6"/>
      <c r="F84" s="6" t="s">
        <v>134</v>
      </c>
      <c r="G84" s="6"/>
      <c r="H84" s="6"/>
      <c r="I84" s="6"/>
      <c r="J84" s="6"/>
    </row>
    <row r="85" spans="1:10" ht="60" customHeight="1">
      <c r="A85" s="3" t="s">
        <v>477</v>
      </c>
      <c r="B85" s="3" t="s">
        <v>209</v>
      </c>
      <c r="C85" s="3" t="s">
        <v>478</v>
      </c>
      <c r="D85" s="6" t="s">
        <v>318</v>
      </c>
      <c r="E85" s="6"/>
      <c r="F85" s="6" t="s">
        <v>134</v>
      </c>
      <c r="G85" s="6"/>
      <c r="H85" s="6"/>
      <c r="I85" s="6"/>
      <c r="J85" s="6"/>
    </row>
    <row r="86" spans="1:10" ht="60" customHeight="1">
      <c r="A86" s="3" t="s">
        <v>479</v>
      </c>
      <c r="B86" s="3" t="s">
        <v>209</v>
      </c>
      <c r="C86" s="3" t="s">
        <v>480</v>
      </c>
      <c r="D86" s="6" t="s">
        <v>318</v>
      </c>
      <c r="E86" s="6"/>
      <c r="F86" s="6" t="s">
        <v>134</v>
      </c>
      <c r="G86" s="6"/>
      <c r="H86" s="6"/>
      <c r="I86" s="6"/>
      <c r="J86" s="6"/>
    </row>
    <row r="87" spans="1:10" ht="60" customHeight="1">
      <c r="A87" s="3" t="s">
        <v>481</v>
      </c>
      <c r="B87" s="3" t="s">
        <v>209</v>
      </c>
      <c r="C87" s="3" t="s">
        <v>482</v>
      </c>
      <c r="D87" s="6" t="s">
        <v>318</v>
      </c>
      <c r="E87" s="6"/>
      <c r="F87" s="6" t="s">
        <v>134</v>
      </c>
      <c r="G87" s="6"/>
      <c r="H87" s="6"/>
      <c r="I87" s="6"/>
      <c r="J87" s="6"/>
    </row>
  </sheetData>
  <autoFilter ref="A4:J87"/>
  <mergeCells count="2">
    <mergeCell ref="A1:J1"/>
    <mergeCell ref="A2:J2"/>
  </mergeCells>
  <conditionalFormatting sqref="A5:J504">
    <cfRule type="expression" dxfId="1" priority="2">
      <formula>$F5="Done"</formula>
    </cfRule>
  </conditionalFormatting>
  <conditionalFormatting sqref="G5:G504">
    <cfRule type="expression" dxfId="0" priority="3">
      <formula>AND($G5&lt;&gt;"",COUNTIFS($G$5:$G$504,$G5,$F$5:$F$504,"In progress")&gt;1)</formula>
    </cfRule>
  </conditionalFormatting>
  <conditionalFormatting sqref="G5:H504">
    <cfRule type="expression" dxfId="0" priority="1">
      <formula>AND($G5&lt;&gt;"",$G5=$H5)</formula>
    </cfRule>
  </conditionalFormatting>
  <dataValidations count="3">
    <dataValidation type="decimal" allowBlank="1" showInputMessage="1" showErrorMessage="1" sqref="E5:E504">
      <formula1>0</formula1>
      <formula2>16</formula2>
    </dataValidation>
    <dataValidation type="list" allowBlank="1" showInputMessage="1" showErrorMessage="1" sqref="F5:F504">
      <formula1>"Backlog,Ready,In progress,Review,Done,Blocked,Deferred"</formula1>
    </dataValidation>
    <dataValidation type="list" allowBlank="1" showInputMessage="1" showErrorMessage="1" sqref="G5:H504">
      <formula1>Members</formula1>
    </dataValidation>
  </dataValidations>
  <pageMargins left="0.7" right="0.7" top="0.75" bottom="0.75" header="0.3" footer="0.3"/>
  <pageSetup fitToHeight="0" orientation="landscape"/>
  <headerFooter>
    <oddFooter>Factory Relay | Updated 21 October 2026 | &amp;P</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F10"/>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1.7109375" style="3" customWidth="1"/>
    <col min="2" max="2" width="20.7109375" style="3" customWidth="1"/>
    <col min="3" max="3" width="60.7109375" style="3" customWidth="1"/>
    <col min="4" max="4" width="32.7109375" style="3" customWidth="1"/>
    <col min="5" max="5" width="80.7109375" style="3" customWidth="1"/>
    <col min="6" max="6" width="65.7109375" style="3" customWidth="1"/>
  </cols>
  <sheetData>
    <row r="1" spans="1:6" ht="29" customHeight="1">
      <c r="A1" s="1" t="s">
        <v>483</v>
      </c>
      <c r="B1" s="1"/>
      <c r="C1" s="1"/>
      <c r="D1" s="1"/>
      <c r="E1" s="1"/>
      <c r="F1" s="1"/>
    </row>
    <row r="2" spans="1:6" ht="34" customHeight="1">
      <c r="A2" s="5" t="s">
        <v>484</v>
      </c>
      <c r="B2" s="5"/>
      <c r="C2" s="5"/>
      <c r="D2" s="5"/>
      <c r="E2" s="5"/>
      <c r="F2" s="5"/>
    </row>
    <row r="4" spans="1:6" ht="32" customHeight="1">
      <c r="A4" s="2" t="s">
        <v>485</v>
      </c>
      <c r="B4" s="2" t="s">
        <v>486</v>
      </c>
      <c r="C4" s="2" t="s">
        <v>487</v>
      </c>
      <c r="D4" s="2" t="s">
        <v>488</v>
      </c>
      <c r="E4" s="2" t="s">
        <v>489</v>
      </c>
      <c r="F4" s="2" t="s">
        <v>490</v>
      </c>
    </row>
    <row r="5" spans="1:6" ht="110" customHeight="1">
      <c r="A5" s="3" t="s">
        <v>117</v>
      </c>
      <c r="B5" s="3" t="s">
        <v>491</v>
      </c>
      <c r="C5" s="3" t="s">
        <v>492</v>
      </c>
      <c r="D5" s="3" t="s">
        <v>493</v>
      </c>
      <c r="E5" s="3" t="s">
        <v>494</v>
      </c>
      <c r="F5" s="3" t="s">
        <v>495</v>
      </c>
    </row>
    <row r="6" spans="1:6" ht="110" customHeight="1">
      <c r="A6" s="3" t="s">
        <v>139</v>
      </c>
      <c r="B6" s="3" t="s">
        <v>496</v>
      </c>
      <c r="C6" s="3" t="s">
        <v>497</v>
      </c>
      <c r="D6" s="3" t="s">
        <v>498</v>
      </c>
      <c r="E6" s="3" t="s">
        <v>499</v>
      </c>
      <c r="F6" s="3" t="s">
        <v>500</v>
      </c>
    </row>
    <row r="7" spans="1:6" ht="110" customHeight="1">
      <c r="A7" s="3" t="s">
        <v>155</v>
      </c>
      <c r="B7" s="3" t="s">
        <v>501</v>
      </c>
      <c r="C7" s="3" t="s">
        <v>502</v>
      </c>
      <c r="D7" s="3" t="s">
        <v>503</v>
      </c>
      <c r="E7" s="3" t="s">
        <v>504</v>
      </c>
      <c r="F7" s="3" t="s">
        <v>505</v>
      </c>
    </row>
    <row r="8" spans="1:6" ht="110" customHeight="1">
      <c r="A8" s="3" t="s">
        <v>167</v>
      </c>
      <c r="B8" s="3" t="s">
        <v>506</v>
      </c>
      <c r="C8" s="3" t="s">
        <v>507</v>
      </c>
      <c r="D8" s="3" t="s">
        <v>508</v>
      </c>
      <c r="E8" s="3" t="s">
        <v>509</v>
      </c>
      <c r="F8" s="3" t="s">
        <v>510</v>
      </c>
    </row>
    <row r="9" spans="1:6" ht="110" customHeight="1">
      <c r="A9" s="3" t="s">
        <v>177</v>
      </c>
      <c r="B9" s="3" t="s">
        <v>511</v>
      </c>
      <c r="C9" s="3" t="s">
        <v>512</v>
      </c>
      <c r="D9" s="3" t="s">
        <v>513</v>
      </c>
      <c r="E9" s="3" t="s">
        <v>514</v>
      </c>
      <c r="F9" s="3" t="s">
        <v>515</v>
      </c>
    </row>
    <row r="10" spans="1:6" ht="110" customHeight="1">
      <c r="A10" s="3" t="s">
        <v>190</v>
      </c>
      <c r="B10" s="3" t="s">
        <v>516</v>
      </c>
      <c r="C10" s="3" t="s">
        <v>517</v>
      </c>
      <c r="D10" s="3" t="s">
        <v>518</v>
      </c>
      <c r="E10" s="3" t="s">
        <v>519</v>
      </c>
      <c r="F10" s="3" t="s">
        <v>520</v>
      </c>
    </row>
  </sheetData>
  <autoFilter ref="A4:F10"/>
  <mergeCells count="2">
    <mergeCell ref="A1:F1"/>
    <mergeCell ref="A2:F2"/>
  </mergeCells>
  <pageMargins left="0.7" right="0.7" top="0.75" bottom="0.75" header="0.3" footer="0.3"/>
  <pageSetup fitToHeight="0" orientation="landscape"/>
  <headerFooter>
    <oddFooter>Factory Relay | Updated 21 October 2026 | &amp;P</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E31"/>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3" customWidth="1"/>
    <col min="2" max="2" width="100.7109375" style="3" customWidth="1"/>
    <col min="3" max="3" width="18.7109375" style="3" customWidth="1"/>
    <col min="4" max="4" width="20.7109375" style="3" customWidth="1"/>
    <col min="5" max="5" width="65.7109375" style="3" customWidth="1"/>
  </cols>
  <sheetData>
    <row r="1" spans="1:5" ht="29" customHeight="1">
      <c r="A1" s="1" t="s">
        <v>521</v>
      </c>
      <c r="B1" s="1"/>
      <c r="C1" s="1"/>
      <c r="D1" s="1"/>
      <c r="E1" s="1"/>
    </row>
    <row r="2" spans="1:5" ht="34" customHeight="1">
      <c r="A2" s="5" t="s">
        <v>522</v>
      </c>
      <c r="B2" s="5"/>
      <c r="C2" s="5"/>
      <c r="D2" s="5"/>
      <c r="E2" s="5"/>
    </row>
    <row r="4" spans="1:5" ht="32" customHeight="1">
      <c r="A4" s="2" t="s">
        <v>523</v>
      </c>
      <c r="B4" s="2" t="s">
        <v>524</v>
      </c>
      <c r="C4" s="2" t="s">
        <v>106</v>
      </c>
      <c r="D4" s="2" t="s">
        <v>525</v>
      </c>
      <c r="E4" s="2" t="s">
        <v>526</v>
      </c>
    </row>
    <row r="5" spans="1:5" ht="38" customHeight="1">
      <c r="A5" s="3" t="s">
        <v>527</v>
      </c>
      <c r="B5" s="3" t="s">
        <v>528</v>
      </c>
      <c r="C5" s="3" t="s">
        <v>529</v>
      </c>
      <c r="D5" s="3"/>
      <c r="E5" s="3"/>
    </row>
    <row r="6" spans="1:5" ht="38" customHeight="1">
      <c r="A6" s="3" t="s">
        <v>527</v>
      </c>
      <c r="B6" s="3" t="s">
        <v>530</v>
      </c>
      <c r="C6" s="3" t="s">
        <v>529</v>
      </c>
      <c r="D6" s="3"/>
      <c r="E6" s="3"/>
    </row>
    <row r="7" spans="1:5" ht="38" customHeight="1">
      <c r="A7" s="3" t="s">
        <v>527</v>
      </c>
      <c r="B7" s="3" t="s">
        <v>531</v>
      </c>
      <c r="C7" s="3" t="s">
        <v>529</v>
      </c>
      <c r="D7" s="3"/>
      <c r="E7" s="3"/>
    </row>
    <row r="8" spans="1:5" ht="38" customHeight="1">
      <c r="A8" s="3" t="s">
        <v>527</v>
      </c>
      <c r="B8" s="3" t="s">
        <v>532</v>
      </c>
      <c r="C8" s="3" t="s">
        <v>529</v>
      </c>
      <c r="D8" s="3"/>
      <c r="E8" s="3"/>
    </row>
    <row r="9" spans="1:5" ht="38" customHeight="1">
      <c r="A9" s="3" t="s">
        <v>533</v>
      </c>
      <c r="B9" s="3" t="s">
        <v>534</v>
      </c>
      <c r="C9" s="3" t="s">
        <v>529</v>
      </c>
      <c r="D9" s="3"/>
      <c r="E9" s="3"/>
    </row>
    <row r="10" spans="1:5" ht="38" customHeight="1">
      <c r="A10" s="3" t="s">
        <v>533</v>
      </c>
      <c r="B10" s="3" t="s">
        <v>535</v>
      </c>
      <c r="C10" s="3" t="s">
        <v>529</v>
      </c>
      <c r="D10" s="3"/>
      <c r="E10" s="3"/>
    </row>
    <row r="11" spans="1:5" ht="38" customHeight="1">
      <c r="A11" s="3" t="s">
        <v>533</v>
      </c>
      <c r="B11" s="3" t="s">
        <v>536</v>
      </c>
      <c r="C11" s="3" t="s">
        <v>529</v>
      </c>
      <c r="D11" s="3"/>
      <c r="E11" s="3"/>
    </row>
    <row r="12" spans="1:5" ht="38" customHeight="1">
      <c r="A12" s="3" t="s">
        <v>533</v>
      </c>
      <c r="B12" s="3" t="s">
        <v>537</v>
      </c>
      <c r="C12" s="3" t="s">
        <v>529</v>
      </c>
      <c r="D12" s="3"/>
      <c r="E12" s="3"/>
    </row>
    <row r="13" spans="1:5" ht="38" customHeight="1">
      <c r="A13" s="3" t="s">
        <v>533</v>
      </c>
      <c r="B13" s="3" t="s">
        <v>538</v>
      </c>
      <c r="C13" s="3" t="s">
        <v>529</v>
      </c>
      <c r="D13" s="3"/>
      <c r="E13" s="3"/>
    </row>
    <row r="14" spans="1:5" ht="38" customHeight="1">
      <c r="A14" s="3" t="s">
        <v>539</v>
      </c>
      <c r="B14" s="3" t="s">
        <v>540</v>
      </c>
      <c r="C14" s="3" t="s">
        <v>529</v>
      </c>
      <c r="D14" s="3"/>
      <c r="E14" s="3"/>
    </row>
    <row r="15" spans="1:5" ht="38" customHeight="1">
      <c r="A15" s="3" t="s">
        <v>539</v>
      </c>
      <c r="B15" s="3" t="s">
        <v>541</v>
      </c>
      <c r="C15" s="3" t="s">
        <v>529</v>
      </c>
      <c r="D15" s="3"/>
      <c r="E15" s="3"/>
    </row>
    <row r="16" spans="1:5" ht="38" customHeight="1">
      <c r="A16" s="3" t="s">
        <v>539</v>
      </c>
      <c r="B16" s="3" t="s">
        <v>542</v>
      </c>
      <c r="C16" s="3" t="s">
        <v>529</v>
      </c>
      <c r="D16" s="3"/>
      <c r="E16" s="3"/>
    </row>
    <row r="17" spans="1:5" ht="38" customHeight="1">
      <c r="A17" s="3" t="s">
        <v>539</v>
      </c>
      <c r="B17" s="3" t="s">
        <v>543</v>
      </c>
      <c r="C17" s="3" t="s">
        <v>529</v>
      </c>
      <c r="D17" s="3"/>
      <c r="E17" s="3"/>
    </row>
    <row r="18" spans="1:5" ht="38" customHeight="1">
      <c r="A18" s="3" t="s">
        <v>539</v>
      </c>
      <c r="B18" s="3" t="s">
        <v>544</v>
      </c>
      <c r="C18" s="3" t="s">
        <v>529</v>
      </c>
      <c r="D18" s="3"/>
      <c r="E18" s="3"/>
    </row>
    <row r="19" spans="1:5" ht="38" customHeight="1">
      <c r="A19" s="3" t="s">
        <v>545</v>
      </c>
      <c r="B19" s="3" t="s">
        <v>546</v>
      </c>
      <c r="C19" s="3" t="s">
        <v>529</v>
      </c>
      <c r="D19" s="3"/>
      <c r="E19" s="3"/>
    </row>
    <row r="20" spans="1:5" ht="38" customHeight="1">
      <c r="A20" s="3" t="s">
        <v>545</v>
      </c>
      <c r="B20" s="3" t="s">
        <v>547</v>
      </c>
      <c r="C20" s="3" t="s">
        <v>529</v>
      </c>
      <c r="D20" s="3"/>
      <c r="E20" s="3"/>
    </row>
    <row r="21" spans="1:5" ht="38" customHeight="1">
      <c r="A21" s="3" t="s">
        <v>545</v>
      </c>
      <c r="B21" s="3" t="s">
        <v>548</v>
      </c>
      <c r="C21" s="3" t="s">
        <v>529</v>
      </c>
      <c r="D21" s="3"/>
      <c r="E21" s="3"/>
    </row>
    <row r="22" spans="1:5" ht="38" customHeight="1">
      <c r="A22" s="3" t="s">
        <v>545</v>
      </c>
      <c r="B22" s="3" t="s">
        <v>549</v>
      </c>
      <c r="C22" s="3" t="s">
        <v>529</v>
      </c>
      <c r="D22" s="3"/>
      <c r="E22" s="3"/>
    </row>
    <row r="23" spans="1:5" ht="38" customHeight="1">
      <c r="A23" s="3" t="s">
        <v>550</v>
      </c>
      <c r="B23" s="3" t="s">
        <v>551</v>
      </c>
      <c r="C23" s="3" t="s">
        <v>529</v>
      </c>
      <c r="D23" s="3"/>
      <c r="E23" s="3"/>
    </row>
    <row r="24" spans="1:5" ht="38" customHeight="1">
      <c r="A24" s="3" t="s">
        <v>550</v>
      </c>
      <c r="B24" s="3" t="s">
        <v>552</v>
      </c>
      <c r="C24" s="3" t="s">
        <v>529</v>
      </c>
      <c r="D24" s="3"/>
      <c r="E24" s="3"/>
    </row>
    <row r="25" spans="1:5" ht="38" customHeight="1">
      <c r="A25" s="3" t="s">
        <v>550</v>
      </c>
      <c r="B25" s="3" t="s">
        <v>553</v>
      </c>
      <c r="C25" s="3" t="s">
        <v>529</v>
      </c>
      <c r="D25" s="3"/>
      <c r="E25" s="3"/>
    </row>
    <row r="26" spans="1:5" ht="38" customHeight="1">
      <c r="A26" s="3" t="s">
        <v>554</v>
      </c>
      <c r="B26" s="3" t="s">
        <v>555</v>
      </c>
      <c r="C26" s="3" t="s">
        <v>529</v>
      </c>
      <c r="D26" s="3"/>
      <c r="E26" s="3"/>
    </row>
    <row r="27" spans="1:5" ht="38" customHeight="1">
      <c r="A27" s="3" t="s">
        <v>554</v>
      </c>
      <c r="B27" s="3" t="s">
        <v>556</v>
      </c>
      <c r="C27" s="3" t="s">
        <v>529</v>
      </c>
      <c r="D27" s="3"/>
      <c r="E27" s="3"/>
    </row>
    <row r="28" spans="1:5" ht="38" customHeight="1">
      <c r="A28" s="3" t="s">
        <v>554</v>
      </c>
      <c r="B28" s="3" t="s">
        <v>557</v>
      </c>
      <c r="C28" s="3" t="s">
        <v>529</v>
      </c>
      <c r="D28" s="3"/>
      <c r="E28" s="3"/>
    </row>
    <row r="29" spans="1:5" ht="38" customHeight="1">
      <c r="A29" s="3" t="s">
        <v>554</v>
      </c>
      <c r="B29" s="3" t="s">
        <v>558</v>
      </c>
      <c r="C29" s="3" t="s">
        <v>529</v>
      </c>
      <c r="D29" s="3"/>
      <c r="E29" s="3"/>
    </row>
    <row r="30" spans="1:5" ht="38" customHeight="1">
      <c r="A30" s="3" t="s">
        <v>554</v>
      </c>
      <c r="B30" s="3" t="s">
        <v>559</v>
      </c>
      <c r="C30" s="3" t="s">
        <v>529</v>
      </c>
      <c r="D30" s="3"/>
      <c r="E30" s="3"/>
    </row>
    <row r="31" spans="1:5" ht="38" customHeight="1">
      <c r="A31" s="3" t="s">
        <v>554</v>
      </c>
      <c r="B31" s="3" t="s">
        <v>560</v>
      </c>
      <c r="C31" s="3" t="s">
        <v>529</v>
      </c>
      <c r="D31" s="3"/>
      <c r="E31" s="3"/>
    </row>
  </sheetData>
  <autoFilter ref="A4:E31"/>
  <mergeCells count="2">
    <mergeCell ref="A1:E1"/>
    <mergeCell ref="A2:E2"/>
  </mergeCells>
  <dataValidations count="2">
    <dataValidation type="list" allowBlank="1" showInputMessage="1" showErrorMessage="1" sqref="C5:C504">
      <formula1>"Not yet,Done,Not applicable"</formula1>
    </dataValidation>
    <dataValidation type="list" allowBlank="1" showInputMessage="1" showErrorMessage="1" sqref="D5:D504">
      <formula1>Members</formula1>
    </dataValidation>
  </dataValidations>
  <pageMargins left="0.7" right="0.7" top="0.75" bottom="0.75" header="0.3" footer="0.3"/>
  <pageSetup fitToHeight="0" orientation="landscape"/>
  <headerFooter>
    <oddFooter>Factory Relay | Updated 21 October 2026 | &amp;P</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E9"/>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0.7109375" style="3" customWidth="1"/>
    <col min="2" max="2" width="18.7109375" style="3" customWidth="1"/>
    <col min="3" max="3" width="45.7109375" style="3" customWidth="1"/>
    <col min="4" max="4" width="75.7109375" style="3" customWidth="1"/>
    <col min="5" max="5" width="65.7109375" style="3" customWidth="1"/>
  </cols>
  <sheetData>
    <row r="1" spans="1:5" ht="29" customHeight="1">
      <c r="A1" s="1" t="s">
        <v>561</v>
      </c>
      <c r="B1" s="1"/>
      <c r="C1" s="1"/>
      <c r="D1" s="1"/>
      <c r="E1" s="1"/>
    </row>
    <row r="2" spans="1:5" ht="34" customHeight="1">
      <c r="A2" s="5" t="s">
        <v>562</v>
      </c>
      <c r="B2" s="5"/>
      <c r="C2" s="5"/>
      <c r="D2" s="5"/>
      <c r="E2" s="5"/>
    </row>
    <row r="4" spans="1:5" ht="32" customHeight="1">
      <c r="A4" s="2" t="s">
        <v>563</v>
      </c>
      <c r="B4" s="2" t="s">
        <v>564</v>
      </c>
      <c r="C4" s="2" t="s">
        <v>565</v>
      </c>
      <c r="D4" s="2" t="s">
        <v>566</v>
      </c>
      <c r="E4" s="2" t="s">
        <v>567</v>
      </c>
    </row>
    <row r="5" spans="1:5" ht="70" customHeight="1">
      <c r="A5" s="3" t="s">
        <v>568</v>
      </c>
      <c r="B5" s="3" t="s">
        <v>569</v>
      </c>
      <c r="C5" s="3" t="s">
        <v>570</v>
      </c>
      <c r="D5" s="3" t="s">
        <v>571</v>
      </c>
      <c r="E5" s="3" t="s">
        <v>572</v>
      </c>
    </row>
    <row r="6" spans="1:5" ht="70" customHeight="1">
      <c r="A6" s="3" t="s">
        <v>573</v>
      </c>
      <c r="B6" s="3" t="s">
        <v>574</v>
      </c>
      <c r="C6" s="3" t="s">
        <v>575</v>
      </c>
      <c r="D6" s="3" t="s">
        <v>576</v>
      </c>
      <c r="E6" s="3" t="s">
        <v>577</v>
      </c>
    </row>
    <row r="7" spans="1:5" ht="70" customHeight="1">
      <c r="A7" s="3" t="s">
        <v>578</v>
      </c>
      <c r="B7" s="3" t="s">
        <v>579</v>
      </c>
      <c r="C7" s="3" t="s">
        <v>580</v>
      </c>
      <c r="D7" s="3" t="s">
        <v>581</v>
      </c>
      <c r="E7" s="3" t="s">
        <v>582</v>
      </c>
    </row>
    <row r="8" spans="1:5" ht="70" customHeight="1">
      <c r="A8" s="3" t="s">
        <v>131</v>
      </c>
      <c r="B8" s="3" t="s">
        <v>583</v>
      </c>
      <c r="C8" s="3" t="s">
        <v>584</v>
      </c>
      <c r="D8" s="3" t="s">
        <v>585</v>
      </c>
      <c r="E8" s="3" t="s">
        <v>586</v>
      </c>
    </row>
    <row r="9" spans="1:5" ht="70" customHeight="1">
      <c r="A9" s="3" t="s">
        <v>587</v>
      </c>
      <c r="B9" s="3" t="s">
        <v>588</v>
      </c>
      <c r="C9" s="3" t="s">
        <v>589</v>
      </c>
      <c r="D9" s="3" t="s">
        <v>590</v>
      </c>
      <c r="E9" s="3" t="s">
        <v>591</v>
      </c>
    </row>
  </sheetData>
  <autoFilter ref="A4:E9"/>
  <mergeCells count="2">
    <mergeCell ref="A1:E1"/>
    <mergeCell ref="A2:E2"/>
  </mergeCells>
  <pageMargins left="0.7" right="0.7" top="0.75" bottom="0.75" header="0.3" footer="0.3"/>
  <pageSetup fitToHeight="0" orientation="landscape"/>
  <headerFooter>
    <oddFooter>Factory Relay | Updated 21 October 2026 | &amp;P</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M18"/>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1.7109375" style="3" customWidth="1"/>
    <col min="2" max="2" width="60.7109375" style="3" customWidth="1"/>
    <col min="3" max="3" width="10.7109375" style="3" customWidth="1"/>
    <col min="4" max="4" width="55.7109375" style="3" customWidth="1"/>
    <col min="5" max="5" width="45.7109375" style="3" customWidth="1"/>
    <col min="6" max="6" width="40.7109375" style="3" customWidth="1"/>
    <col min="7" max="9" width="55.7109375" style="3" customWidth="1"/>
    <col min="10" max="10" width="45.7109375" style="3" customWidth="1"/>
    <col min="11" max="11" width="55.7109375" style="3" customWidth="1"/>
    <col min="12" max="12" width="20.7109375" style="3" customWidth="1"/>
    <col min="13" max="13" width="18.7109375" style="3" customWidth="1"/>
  </cols>
  <sheetData>
    <row r="1" spans="1:13" ht="29" customHeight="1">
      <c r="A1" s="1" t="s">
        <v>592</v>
      </c>
      <c r="B1" s="1"/>
      <c r="C1" s="1"/>
      <c r="D1" s="1"/>
      <c r="E1" s="1"/>
      <c r="F1" s="1"/>
      <c r="G1" s="1"/>
      <c r="H1" s="1"/>
      <c r="I1" s="1"/>
      <c r="J1" s="1"/>
      <c r="K1" s="1"/>
      <c r="L1" s="1"/>
      <c r="M1" s="1"/>
    </row>
    <row r="2" spans="1:13" ht="34" customHeight="1">
      <c r="A2" s="5" t="s">
        <v>593</v>
      </c>
      <c r="B2" s="5"/>
      <c r="C2" s="5"/>
      <c r="D2" s="5"/>
      <c r="E2" s="5"/>
      <c r="F2" s="5"/>
      <c r="G2" s="5"/>
      <c r="H2" s="5"/>
      <c r="I2" s="5"/>
      <c r="J2" s="5"/>
      <c r="K2" s="5"/>
      <c r="L2" s="5"/>
      <c r="M2" s="5"/>
    </row>
    <row r="4" spans="1:13" ht="32" customHeight="1">
      <c r="A4" s="2" t="s">
        <v>594</v>
      </c>
      <c r="B4" s="2" t="s">
        <v>595</v>
      </c>
      <c r="C4" s="2" t="s">
        <v>596</v>
      </c>
      <c r="D4" s="2" t="s">
        <v>597</v>
      </c>
      <c r="E4" s="2" t="s">
        <v>598</v>
      </c>
      <c r="F4" s="2" t="s">
        <v>599</v>
      </c>
      <c r="G4" s="2" t="s">
        <v>600</v>
      </c>
      <c r="H4" s="2" t="s">
        <v>601</v>
      </c>
      <c r="I4" s="2" t="s">
        <v>602</v>
      </c>
      <c r="J4" s="2" t="s">
        <v>603</v>
      </c>
      <c r="K4" s="2" t="s">
        <v>604</v>
      </c>
      <c r="L4" s="2" t="s">
        <v>525</v>
      </c>
      <c r="M4" s="2" t="s">
        <v>106</v>
      </c>
    </row>
    <row r="5" spans="1:13" ht="65" customHeight="1">
      <c r="A5" s="3" t="s">
        <v>605</v>
      </c>
      <c r="B5" s="3" t="s">
        <v>606</v>
      </c>
      <c r="C5" s="3" t="s">
        <v>607</v>
      </c>
      <c r="D5" s="3" t="s">
        <v>608</v>
      </c>
      <c r="E5" s="3" t="s">
        <v>609</v>
      </c>
      <c r="F5" s="3" t="s">
        <v>609</v>
      </c>
      <c r="G5" s="3" t="s">
        <v>610</v>
      </c>
      <c r="H5" s="3" t="s">
        <v>611</v>
      </c>
      <c r="I5" s="3" t="s">
        <v>609</v>
      </c>
      <c r="J5" s="3" t="s">
        <v>612</v>
      </c>
      <c r="K5" s="3" t="s">
        <v>613</v>
      </c>
      <c r="L5" s="3"/>
      <c r="M5" s="3" t="s">
        <v>614</v>
      </c>
    </row>
    <row r="6" spans="1:13" ht="65" customHeight="1">
      <c r="A6" s="3" t="s">
        <v>615</v>
      </c>
      <c r="B6" s="3" t="s">
        <v>616</v>
      </c>
      <c r="C6" s="3" t="s">
        <v>617</v>
      </c>
      <c r="D6" s="3" t="s">
        <v>618</v>
      </c>
      <c r="E6" s="3" t="s">
        <v>609</v>
      </c>
      <c r="F6" s="3" t="s">
        <v>609</v>
      </c>
      <c r="G6" s="3" t="s">
        <v>619</v>
      </c>
      <c r="H6" s="3" t="s">
        <v>611</v>
      </c>
      <c r="I6" s="3" t="s">
        <v>609</v>
      </c>
      <c r="J6" s="3" t="s">
        <v>612</v>
      </c>
      <c r="K6" s="3" t="s">
        <v>613</v>
      </c>
      <c r="L6" s="3"/>
      <c r="M6" s="3" t="s">
        <v>614</v>
      </c>
    </row>
    <row r="7" spans="1:13" ht="65" customHeight="1">
      <c r="A7" s="3" t="s">
        <v>620</v>
      </c>
      <c r="B7" s="3"/>
      <c r="C7" s="3"/>
      <c r="D7" s="3"/>
      <c r="E7" s="3"/>
      <c r="F7" s="3"/>
      <c r="G7" s="3"/>
      <c r="H7" s="3"/>
      <c r="I7" s="3"/>
      <c r="J7" s="3"/>
      <c r="K7" s="3"/>
      <c r="L7" s="3"/>
      <c r="M7" s="3"/>
    </row>
    <row r="8" spans="1:13" ht="65" customHeight="1">
      <c r="A8" s="3" t="s">
        <v>621</v>
      </c>
      <c r="B8" s="3"/>
      <c r="C8" s="3"/>
      <c r="D8" s="3"/>
      <c r="E8" s="3"/>
      <c r="F8" s="3"/>
      <c r="G8" s="3"/>
      <c r="H8" s="3"/>
      <c r="I8" s="3"/>
      <c r="J8" s="3"/>
      <c r="K8" s="3"/>
      <c r="L8" s="3"/>
      <c r="M8" s="3"/>
    </row>
    <row r="9" spans="1:13" ht="65" customHeight="1">
      <c r="A9" s="3" t="s">
        <v>622</v>
      </c>
      <c r="B9" s="3"/>
      <c r="C9" s="3"/>
      <c r="D9" s="3"/>
      <c r="E9" s="3"/>
      <c r="F9" s="3"/>
      <c r="G9" s="3"/>
      <c r="H9" s="3"/>
      <c r="I9" s="3"/>
      <c r="J9" s="3"/>
      <c r="K9" s="3"/>
      <c r="L9" s="3"/>
      <c r="M9" s="3"/>
    </row>
    <row r="10" spans="1:13" ht="65" customHeight="1">
      <c r="A10" s="3" t="s">
        <v>623</v>
      </c>
      <c r="B10" s="3"/>
      <c r="C10" s="3"/>
      <c r="D10" s="3"/>
      <c r="E10" s="3"/>
      <c r="F10" s="3"/>
      <c r="G10" s="3"/>
      <c r="H10" s="3"/>
      <c r="I10" s="3"/>
      <c r="J10" s="3"/>
      <c r="K10" s="3"/>
      <c r="L10" s="3"/>
      <c r="M10" s="3"/>
    </row>
    <row r="11" spans="1:13" ht="65" customHeight="1">
      <c r="A11" s="3" t="s">
        <v>624</v>
      </c>
      <c r="B11" s="3"/>
      <c r="C11" s="3"/>
      <c r="D11" s="3"/>
      <c r="E11" s="3"/>
      <c r="F11" s="3"/>
      <c r="G11" s="3"/>
      <c r="H11" s="3"/>
      <c r="I11" s="3"/>
      <c r="J11" s="3"/>
      <c r="K11" s="3"/>
      <c r="L11" s="3"/>
      <c r="M11" s="3"/>
    </row>
    <row r="12" spans="1:13" ht="65" customHeight="1">
      <c r="A12" s="3" t="s">
        <v>625</v>
      </c>
      <c r="B12" s="3"/>
      <c r="C12" s="3"/>
      <c r="D12" s="3"/>
      <c r="E12" s="3"/>
      <c r="F12" s="3"/>
      <c r="G12" s="3"/>
      <c r="H12" s="3"/>
      <c r="I12" s="3"/>
      <c r="J12" s="3"/>
      <c r="K12" s="3"/>
      <c r="L12" s="3"/>
      <c r="M12" s="3"/>
    </row>
    <row r="13" spans="1:13" ht="65" customHeight="1">
      <c r="A13" s="3" t="s">
        <v>626</v>
      </c>
      <c r="B13" s="3"/>
      <c r="C13" s="3"/>
      <c r="D13" s="3"/>
      <c r="E13" s="3"/>
      <c r="F13" s="3"/>
      <c r="G13" s="3"/>
      <c r="H13" s="3"/>
      <c r="I13" s="3"/>
      <c r="J13" s="3"/>
      <c r="K13" s="3"/>
      <c r="L13" s="3"/>
      <c r="M13" s="3"/>
    </row>
    <row r="14" spans="1:13" ht="65" customHeight="1">
      <c r="A14" s="3" t="s">
        <v>627</v>
      </c>
      <c r="B14" s="3"/>
      <c r="C14" s="3"/>
      <c r="D14" s="3"/>
      <c r="E14" s="3"/>
      <c r="F14" s="3"/>
      <c r="G14" s="3"/>
      <c r="H14" s="3"/>
      <c r="I14" s="3"/>
      <c r="J14" s="3"/>
      <c r="K14" s="3"/>
      <c r="L14" s="3"/>
      <c r="M14" s="3"/>
    </row>
    <row r="15" spans="1:13" ht="65" customHeight="1">
      <c r="A15" s="3" t="s">
        <v>628</v>
      </c>
      <c r="B15" s="3"/>
      <c r="C15" s="3"/>
      <c r="D15" s="3"/>
      <c r="E15" s="3"/>
      <c r="F15" s="3"/>
      <c r="G15" s="3"/>
      <c r="H15" s="3"/>
      <c r="I15" s="3"/>
      <c r="J15" s="3"/>
      <c r="K15" s="3"/>
      <c r="L15" s="3"/>
      <c r="M15" s="3"/>
    </row>
    <row r="16" spans="1:13" ht="65" customHeight="1">
      <c r="A16" s="3" t="s">
        <v>629</v>
      </c>
      <c r="B16" s="3"/>
      <c r="C16" s="3"/>
      <c r="D16" s="3"/>
      <c r="E16" s="3"/>
      <c r="F16" s="3"/>
      <c r="G16" s="3"/>
      <c r="H16" s="3"/>
      <c r="I16" s="3"/>
      <c r="J16" s="3"/>
      <c r="K16" s="3"/>
      <c r="L16" s="3"/>
      <c r="M16" s="3"/>
    </row>
    <row r="17" spans="1:13" ht="65" customHeight="1">
      <c r="A17" s="3" t="s">
        <v>630</v>
      </c>
      <c r="B17" s="3"/>
      <c r="C17" s="3"/>
      <c r="D17" s="3"/>
      <c r="E17" s="3"/>
      <c r="F17" s="3"/>
      <c r="G17" s="3"/>
      <c r="H17" s="3"/>
      <c r="I17" s="3"/>
      <c r="J17" s="3"/>
      <c r="K17" s="3"/>
      <c r="L17" s="3"/>
      <c r="M17" s="3"/>
    </row>
    <row r="18" spans="1:13" ht="65" customHeight="1">
      <c r="A18" s="3" t="s">
        <v>631</v>
      </c>
      <c r="B18" s="3"/>
      <c r="C18" s="3"/>
      <c r="D18" s="3"/>
      <c r="E18" s="3"/>
      <c r="F18" s="3"/>
      <c r="G18" s="3"/>
      <c r="H18" s="3"/>
      <c r="I18" s="3"/>
      <c r="J18" s="3"/>
      <c r="K18" s="3"/>
      <c r="L18" s="3"/>
      <c r="M18" s="3"/>
    </row>
  </sheetData>
  <autoFilter ref="A4:M18"/>
  <mergeCells count="2">
    <mergeCell ref="A1:M1"/>
    <mergeCell ref="A2:M2"/>
  </mergeCells>
  <dataValidations count="2">
    <dataValidation type="list" allowBlank="1" showInputMessage="1" showErrorMessage="1" sqref="L5:L504">
      <formula1>Members</formula1>
    </dataValidation>
    <dataValidation type="list" allowBlank="1" showInputMessage="1" showErrorMessage="1" sqref="M5:M504">
      <formula1>"To review,Included,Excluded,Verified,Unverifiable"</formula1>
    </dataValidation>
  </dataValidations>
  <hyperlinks>
    <hyperlink ref="D5" r:id="rId1"/>
    <hyperlink ref="D6" r:id="rId2"/>
  </hyperlinks>
  <pageMargins left="0.7" right="0.7" top="0.75" bottom="0.75" header="0.3" footer="0.3"/>
  <pageSetup fitToHeight="0" orientation="landscape"/>
  <headerFooter>
    <oddFooter>Factory Relay | Updated 21 October 2026 | &amp;P</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H14"/>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style="3" customWidth="1"/>
    <col min="2" max="2" width="27.7109375" style="3" customWidth="1"/>
    <col min="3" max="3" width="85.7109375" style="3" customWidth="1"/>
    <col min="4" max="4" width="40.7109375" style="3" customWidth="1"/>
    <col min="5" max="5" width="18.7109375" style="3" customWidth="1"/>
    <col min="6" max="6" width="30.7109375" style="3" customWidth="1"/>
    <col min="7" max="7" width="70.7109375" style="3" customWidth="1"/>
    <col min="8" max="8" width="20.7109375" style="3" customWidth="1"/>
  </cols>
  <sheetData>
    <row r="1" spans="1:8" ht="29" customHeight="1">
      <c r="A1" s="1" t="s">
        <v>632</v>
      </c>
      <c r="B1" s="1"/>
      <c r="C1" s="1"/>
      <c r="D1" s="1"/>
      <c r="E1" s="1"/>
      <c r="F1" s="1"/>
      <c r="G1" s="1"/>
      <c r="H1" s="1"/>
    </row>
    <row r="2" spans="1:8" ht="34" customHeight="1">
      <c r="A2" s="5" t="s">
        <v>633</v>
      </c>
      <c r="B2" s="5"/>
      <c r="C2" s="5"/>
      <c r="D2" s="5"/>
      <c r="E2" s="5"/>
      <c r="F2" s="5"/>
      <c r="G2" s="5"/>
      <c r="H2" s="5"/>
    </row>
    <row r="4" spans="1:8" ht="32" customHeight="1">
      <c r="A4" s="2" t="s">
        <v>634</v>
      </c>
      <c r="B4" s="2" t="s">
        <v>635</v>
      </c>
      <c r="C4" s="2" t="s">
        <v>636</v>
      </c>
      <c r="D4" s="2" t="s">
        <v>637</v>
      </c>
      <c r="E4" s="2" t="s">
        <v>638</v>
      </c>
      <c r="F4" s="2" t="s">
        <v>639</v>
      </c>
      <c r="G4" s="2" t="s">
        <v>640</v>
      </c>
      <c r="H4" s="2" t="s">
        <v>641</v>
      </c>
    </row>
    <row r="5" spans="1:8" ht="50" customHeight="1">
      <c r="A5" s="3"/>
      <c r="B5" s="3"/>
      <c r="C5" s="3"/>
      <c r="D5" s="3"/>
      <c r="E5" s="3"/>
      <c r="F5" s="3"/>
      <c r="G5" s="3"/>
      <c r="H5" s="3"/>
    </row>
    <row r="6" spans="1:8" ht="50" customHeight="1">
      <c r="A6" s="3"/>
      <c r="B6" s="3"/>
      <c r="C6" s="3"/>
      <c r="D6" s="3"/>
      <c r="E6" s="3"/>
      <c r="F6" s="3"/>
      <c r="G6" s="3"/>
      <c r="H6" s="3"/>
    </row>
    <row r="7" spans="1:8" ht="50" customHeight="1">
      <c r="A7" s="3"/>
      <c r="B7" s="3"/>
      <c r="C7" s="3"/>
      <c r="D7" s="3"/>
      <c r="E7" s="3"/>
      <c r="F7" s="3"/>
      <c r="G7" s="3"/>
      <c r="H7" s="3"/>
    </row>
    <row r="8" spans="1:8" ht="50" customHeight="1">
      <c r="A8" s="3"/>
      <c r="B8" s="3"/>
      <c r="C8" s="3"/>
      <c r="D8" s="3"/>
      <c r="E8" s="3"/>
      <c r="F8" s="3"/>
      <c r="G8" s="3"/>
      <c r="H8" s="3"/>
    </row>
    <row r="9" spans="1:8" ht="50" customHeight="1">
      <c r="A9" s="3"/>
      <c r="B9" s="3"/>
      <c r="C9" s="3"/>
      <c r="D9" s="3"/>
      <c r="E9" s="3"/>
      <c r="F9" s="3"/>
      <c r="G9" s="3"/>
      <c r="H9" s="3"/>
    </row>
    <row r="10" spans="1:8" ht="50" customHeight="1">
      <c r="A10" s="3"/>
      <c r="B10" s="3"/>
      <c r="C10" s="3"/>
      <c r="D10" s="3"/>
      <c r="E10" s="3"/>
      <c r="F10" s="3"/>
      <c r="G10" s="3"/>
      <c r="H10" s="3"/>
    </row>
    <row r="11" spans="1:8" ht="50" customHeight="1">
      <c r="A11" s="3"/>
      <c r="B11" s="3"/>
      <c r="C11" s="3"/>
      <c r="D11" s="3"/>
      <c r="E11" s="3"/>
      <c r="F11" s="3"/>
      <c r="G11" s="3"/>
      <c r="H11" s="3"/>
    </row>
    <row r="12" spans="1:8" ht="50" customHeight="1">
      <c r="A12" s="3"/>
      <c r="B12" s="3"/>
      <c r="C12" s="3"/>
      <c r="D12" s="3"/>
      <c r="E12" s="3"/>
      <c r="F12" s="3"/>
      <c r="G12" s="3"/>
      <c r="H12" s="3"/>
    </row>
    <row r="13" spans="1:8" ht="50" customHeight="1">
      <c r="A13" s="3"/>
      <c r="B13" s="3"/>
      <c r="C13" s="3"/>
      <c r="D13" s="3"/>
      <c r="E13" s="3"/>
      <c r="F13" s="3"/>
      <c r="G13" s="3"/>
      <c r="H13" s="3"/>
    </row>
    <row r="14" spans="1:8" ht="50" customHeight="1">
      <c r="A14" s="3"/>
      <c r="B14" s="3"/>
      <c r="C14" s="3"/>
      <c r="D14" s="3"/>
      <c r="E14" s="3"/>
      <c r="F14" s="3"/>
      <c r="G14" s="3"/>
      <c r="H14" s="3"/>
    </row>
  </sheetData>
  <autoFilter ref="A4:H14"/>
  <mergeCells count="2">
    <mergeCell ref="A1:H1"/>
    <mergeCell ref="A2:H2"/>
  </mergeCells>
  <pageMargins left="0.7" right="0.7" top="0.75" bottom="0.75" header="0.3" footer="0.3"/>
  <pageSetup fitToHeight="0" orientation="landscape"/>
  <headerFooter>
    <oddFooter>Factory Relay | Updated 21 October 2026 | &amp;P</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E19"/>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style="3" customWidth="1"/>
    <col min="2" max="2" width="31.7109375" style="3" customWidth="1"/>
    <col min="3" max="3" width="80.7109375" style="3" customWidth="1"/>
    <col min="4" max="4" width="100.7109375" style="3" customWidth="1"/>
    <col min="5" max="5" width="25.7109375" style="3" customWidth="1"/>
  </cols>
  <sheetData>
    <row r="1" spans="1:5" ht="29" customHeight="1">
      <c r="A1" s="1" t="s">
        <v>642</v>
      </c>
      <c r="B1" s="1"/>
      <c r="C1" s="1"/>
      <c r="D1" s="1"/>
      <c r="E1" s="1"/>
    </row>
    <row r="2" spans="1:5" ht="34" customHeight="1">
      <c r="A2" s="5" t="s">
        <v>643</v>
      </c>
      <c r="B2" s="5"/>
      <c r="C2" s="5"/>
      <c r="D2" s="5"/>
      <c r="E2" s="5"/>
    </row>
    <row r="4" spans="1:5" ht="32" customHeight="1">
      <c r="A4" s="2" t="s">
        <v>644</v>
      </c>
      <c r="B4" s="2" t="s">
        <v>645</v>
      </c>
      <c r="C4" s="2" t="s">
        <v>646</v>
      </c>
      <c r="D4" s="2" t="s">
        <v>647</v>
      </c>
      <c r="E4" s="2" t="s">
        <v>648</v>
      </c>
    </row>
    <row r="5" spans="1:5" ht="80" customHeight="1">
      <c r="A5" s="3" t="s">
        <v>649</v>
      </c>
      <c r="B5" s="3" t="s">
        <v>650</v>
      </c>
      <c r="C5" s="3" t="s">
        <v>651</v>
      </c>
      <c r="D5" s="3" t="s">
        <v>652</v>
      </c>
      <c r="E5" s="3" t="s">
        <v>179</v>
      </c>
    </row>
    <row r="6" spans="1:5" ht="80" customHeight="1">
      <c r="A6" s="3" t="s">
        <v>653</v>
      </c>
      <c r="B6" s="3" t="s">
        <v>654</v>
      </c>
      <c r="C6" s="3" t="s">
        <v>655</v>
      </c>
      <c r="D6" s="3" t="s">
        <v>656</v>
      </c>
      <c r="E6" s="3" t="s">
        <v>179</v>
      </c>
    </row>
    <row r="7" spans="1:5" ht="80" customHeight="1">
      <c r="A7" s="3" t="s">
        <v>657</v>
      </c>
      <c r="B7" s="3" t="s">
        <v>658</v>
      </c>
      <c r="C7" s="3" t="s">
        <v>659</v>
      </c>
      <c r="D7" s="3" t="s">
        <v>660</v>
      </c>
      <c r="E7" s="3" t="s">
        <v>179</v>
      </c>
    </row>
    <row r="8" spans="1:5" ht="80" customHeight="1">
      <c r="A8" s="3" t="s">
        <v>661</v>
      </c>
      <c r="B8" s="3" t="s">
        <v>662</v>
      </c>
      <c r="C8" s="3" t="s">
        <v>663</v>
      </c>
      <c r="D8" s="3" t="s">
        <v>664</v>
      </c>
      <c r="E8" s="3" t="s">
        <v>665</v>
      </c>
    </row>
    <row r="12" spans="1:5">
      <c r="A12" s="2" t="s">
        <v>666</v>
      </c>
    </row>
    <row r="13" spans="1:5" ht="48" customHeight="1">
      <c r="A13" s="2" t="s">
        <v>667</v>
      </c>
      <c r="B13" s="3" t="s">
        <v>668</v>
      </c>
      <c r="C13" s="3"/>
      <c r="D13" s="3"/>
      <c r="E13" s="3"/>
    </row>
    <row r="14" spans="1:5" ht="48" customHeight="1">
      <c r="A14" s="2" t="s">
        <v>669</v>
      </c>
      <c r="B14" s="3" t="s">
        <v>670</v>
      </c>
      <c r="C14" s="3"/>
      <c r="D14" s="3"/>
      <c r="E14" s="3"/>
    </row>
    <row r="15" spans="1:5" ht="48" customHeight="1">
      <c r="A15" s="2" t="s">
        <v>671</v>
      </c>
      <c r="B15" s="3" t="s">
        <v>672</v>
      </c>
      <c r="C15" s="3"/>
      <c r="D15" s="3"/>
      <c r="E15" s="3"/>
    </row>
    <row r="16" spans="1:5" ht="48" customHeight="1">
      <c r="A16" s="2" t="s">
        <v>673</v>
      </c>
      <c r="B16" s="3" t="s">
        <v>674</v>
      </c>
      <c r="C16" s="3"/>
      <c r="D16" s="3"/>
      <c r="E16" s="3"/>
    </row>
    <row r="17" spans="1:5" ht="48" customHeight="1">
      <c r="A17" s="2" t="s">
        <v>675</v>
      </c>
      <c r="B17" s="3" t="s">
        <v>676</v>
      </c>
      <c r="C17" s="3"/>
      <c r="D17" s="3"/>
      <c r="E17" s="3"/>
    </row>
    <row r="18" spans="1:5" ht="48" customHeight="1">
      <c r="A18" s="2" t="s">
        <v>677</v>
      </c>
      <c r="B18" s="3" t="s">
        <v>678</v>
      </c>
      <c r="C18" s="3"/>
      <c r="D18" s="3"/>
      <c r="E18" s="3"/>
    </row>
    <row r="19" spans="1:5" ht="48" customHeight="1">
      <c r="A19" s="2" t="s">
        <v>679</v>
      </c>
      <c r="B19" s="3" t="s">
        <v>680</v>
      </c>
      <c r="C19" s="3"/>
      <c r="D19" s="3"/>
      <c r="E19" s="3"/>
    </row>
  </sheetData>
  <autoFilter ref="A4:E8"/>
  <mergeCells count="9">
    <mergeCell ref="A1:E1"/>
    <mergeCell ref="A2:E2"/>
    <mergeCell ref="B13:E13"/>
    <mergeCell ref="B14:E14"/>
    <mergeCell ref="B15:E15"/>
    <mergeCell ref="B16:E16"/>
    <mergeCell ref="B17:E17"/>
    <mergeCell ref="B18:E18"/>
    <mergeCell ref="B19:E19"/>
  </mergeCells>
  <pageMargins left="0.7" right="0.7" top="0.75" bottom="0.75" header="0.3" footer="0.3"/>
  <pageSetup fitToHeight="0" orientation="landscape"/>
  <headerFooter>
    <oddFooter>Factory Relay | Updated 21 October 2026 | &amp;P</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E11"/>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6.7109375" style="3" customWidth="1"/>
    <col min="2" max="2" width="24.7109375" style="3" customWidth="1"/>
    <col min="3" max="3" width="105.7109375" style="3" customWidth="1"/>
    <col min="4" max="4" width="20.7109375" style="3" customWidth="1"/>
    <col min="5" max="5" width="18.7109375" style="3" customWidth="1"/>
  </cols>
  <sheetData>
    <row r="1" spans="1:5" ht="29" customHeight="1">
      <c r="A1" s="1" t="s">
        <v>681</v>
      </c>
      <c r="B1" s="1"/>
      <c r="C1" s="1"/>
      <c r="D1" s="1"/>
      <c r="E1" s="1"/>
    </row>
    <row r="2" spans="1:5" ht="34" customHeight="1">
      <c r="A2" s="5" t="s">
        <v>682</v>
      </c>
      <c r="B2" s="5"/>
      <c r="C2" s="5"/>
      <c r="D2" s="5"/>
      <c r="E2" s="5"/>
    </row>
    <row r="4" spans="1:5" ht="32" customHeight="1">
      <c r="A4" s="2" t="s">
        <v>683</v>
      </c>
      <c r="B4" s="2" t="s">
        <v>684</v>
      </c>
      <c r="C4" s="2" t="s">
        <v>685</v>
      </c>
      <c r="D4" s="2" t="s">
        <v>107</v>
      </c>
      <c r="E4" s="2" t="s">
        <v>106</v>
      </c>
    </row>
    <row r="5" spans="1:5" ht="65" customHeight="1">
      <c r="A5" s="3" t="s">
        <v>686</v>
      </c>
      <c r="B5" s="3" t="s">
        <v>111</v>
      </c>
      <c r="C5" s="3" t="s">
        <v>687</v>
      </c>
      <c r="D5" s="3"/>
      <c r="E5" s="3" t="s">
        <v>688</v>
      </c>
    </row>
    <row r="6" spans="1:5" ht="65" customHeight="1">
      <c r="A6" s="3" t="s">
        <v>689</v>
      </c>
      <c r="B6" s="3" t="s">
        <v>690</v>
      </c>
      <c r="C6" s="3" t="s">
        <v>691</v>
      </c>
      <c r="D6" s="3"/>
      <c r="E6" s="3" t="s">
        <v>688</v>
      </c>
    </row>
    <row r="7" spans="1:5" ht="65" customHeight="1">
      <c r="A7" s="3" t="s">
        <v>692</v>
      </c>
      <c r="B7" s="3" t="s">
        <v>693</v>
      </c>
      <c r="C7" s="3" t="s">
        <v>694</v>
      </c>
      <c r="D7" s="3"/>
      <c r="E7" s="3" t="s">
        <v>688</v>
      </c>
    </row>
    <row r="8" spans="1:5" ht="65" customHeight="1">
      <c r="A8" s="3" t="s">
        <v>695</v>
      </c>
      <c r="B8" s="3" t="s">
        <v>696</v>
      </c>
      <c r="C8" s="3" t="s">
        <v>697</v>
      </c>
      <c r="D8" s="3"/>
      <c r="E8" s="3" t="s">
        <v>688</v>
      </c>
    </row>
    <row r="9" spans="1:5" ht="65" customHeight="1">
      <c r="A9" s="3" t="s">
        <v>698</v>
      </c>
      <c r="B9" s="3" t="s">
        <v>699</v>
      </c>
      <c r="C9" s="3" t="s">
        <v>700</v>
      </c>
      <c r="D9" s="3"/>
      <c r="E9" s="3" t="s">
        <v>688</v>
      </c>
    </row>
    <row r="10" spans="1:5" ht="65" customHeight="1">
      <c r="A10" s="3" t="s">
        <v>701</v>
      </c>
      <c r="B10" s="3" t="s">
        <v>702</v>
      </c>
      <c r="C10" s="3" t="s">
        <v>703</v>
      </c>
      <c r="D10" s="3"/>
      <c r="E10" s="3" t="s">
        <v>688</v>
      </c>
    </row>
    <row r="11" spans="1:5" ht="65" customHeight="1">
      <c r="A11" s="3" t="s">
        <v>704</v>
      </c>
      <c r="B11" s="3" t="s">
        <v>705</v>
      </c>
      <c r="C11" s="3" t="s">
        <v>706</v>
      </c>
      <c r="D11" s="3"/>
      <c r="E11" s="3" t="s">
        <v>688</v>
      </c>
    </row>
  </sheetData>
  <autoFilter ref="A4:E11"/>
  <mergeCells count="2">
    <mergeCell ref="A1:E1"/>
    <mergeCell ref="A2:E2"/>
  </mergeCells>
  <dataValidations count="2">
    <dataValidation type="list" allowBlank="1" showInputMessage="1" showErrorMessage="1" sqref="D5:D504">
      <formula1>Members</formula1>
    </dataValidation>
    <dataValidation type="list" allowBlank="1" showInputMessage="1" showErrorMessage="1" sqref="E5:E504">
      <formula1>"Open,Mitigating,Resolved,Accepted limitation"</formula1>
    </dataValidation>
  </dataValidations>
  <pageMargins left="0.7" right="0.7" top="0.75" bottom="0.75" header="0.3" footer="0.3"/>
  <pageSetup fitToHeight="0" orientation="landscape"/>
  <headerFooter>
    <oddFooter>Factory Relay | Updated 21 October 2026 | &amp;P</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C15"/>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0.7109375" style="3" customWidth="1"/>
    <col min="2" max="2" width="95.7109375" style="3" customWidth="1"/>
    <col min="3" max="3" width="110.7109375" style="3" customWidth="1"/>
  </cols>
  <sheetData>
    <row r="1" spans="1:3" ht="29" customHeight="1">
      <c r="A1" s="1" t="s">
        <v>707</v>
      </c>
      <c r="B1" s="1"/>
      <c r="C1" s="1"/>
    </row>
    <row r="2" spans="1:3" ht="34" customHeight="1">
      <c r="A2" s="5" t="s">
        <v>708</v>
      </c>
      <c r="B2" s="5"/>
      <c r="C2" s="5"/>
    </row>
    <row r="4" spans="1:3" ht="32" customHeight="1">
      <c r="A4" s="2" t="s">
        <v>35</v>
      </c>
      <c r="B4" s="2" t="s">
        <v>709</v>
      </c>
      <c r="C4" s="2" t="s">
        <v>710</v>
      </c>
    </row>
    <row r="5" spans="1:3" ht="55" customHeight="1">
      <c r="A5" s="3">
        <v>1</v>
      </c>
      <c r="B5" s="3" t="s">
        <v>711</v>
      </c>
      <c r="C5" s="3" t="s">
        <v>712</v>
      </c>
    </row>
    <row r="6" spans="1:3" ht="55" customHeight="1">
      <c r="A6" s="3">
        <v>2</v>
      </c>
      <c r="B6" s="3" t="s">
        <v>713</v>
      </c>
      <c r="C6" s="3" t="s">
        <v>714</v>
      </c>
    </row>
    <row r="7" spans="1:3" ht="55" customHeight="1">
      <c r="A7" s="3">
        <v>3</v>
      </c>
      <c r="B7" s="3" t="s">
        <v>606</v>
      </c>
      <c r="C7" s="3" t="s">
        <v>608</v>
      </c>
    </row>
    <row r="8" spans="1:3" ht="55" customHeight="1">
      <c r="A8" s="3">
        <v>4</v>
      </c>
      <c r="B8" s="3" t="s">
        <v>616</v>
      </c>
      <c r="C8" s="3" t="s">
        <v>618</v>
      </c>
    </row>
    <row r="9" spans="1:3" ht="55" customHeight="1">
      <c r="A9" s="3">
        <v>5</v>
      </c>
      <c r="B9" s="3" t="s">
        <v>715</v>
      </c>
      <c r="C9" s="3" t="s">
        <v>716</v>
      </c>
    </row>
    <row r="10" spans="1:3" ht="55" customHeight="1">
      <c r="A10" s="3">
        <v>6</v>
      </c>
      <c r="B10" s="3" t="s">
        <v>717</v>
      </c>
      <c r="C10" s="3" t="s">
        <v>718</v>
      </c>
    </row>
    <row r="11" spans="1:3" ht="55" customHeight="1">
      <c r="A11" s="3" t="s">
        <v>719</v>
      </c>
      <c r="B11" s="3" t="s">
        <v>720</v>
      </c>
      <c r="C11" s="3" t="s">
        <v>721</v>
      </c>
    </row>
    <row r="12" spans="1:3" ht="55" customHeight="1">
      <c r="A12" s="3" t="s">
        <v>719</v>
      </c>
      <c r="B12" s="3" t="s">
        <v>722</v>
      </c>
      <c r="C12" s="3" t="s">
        <v>723</v>
      </c>
    </row>
    <row r="13" spans="1:3" ht="55" customHeight="1">
      <c r="A13" s="3" t="s">
        <v>719</v>
      </c>
      <c r="B13" s="3" t="s">
        <v>724</v>
      </c>
      <c r="C13" s="3" t="s">
        <v>725</v>
      </c>
    </row>
    <row r="14" spans="1:3" ht="55" customHeight="1">
      <c r="A14" s="3" t="s">
        <v>719</v>
      </c>
      <c r="B14" s="3" t="s">
        <v>726</v>
      </c>
      <c r="C14" s="3" t="s">
        <v>727</v>
      </c>
    </row>
    <row r="15" spans="1:3" ht="55" customHeight="1">
      <c r="A15" s="3" t="s">
        <v>728</v>
      </c>
      <c r="B15" s="3" t="s">
        <v>729</v>
      </c>
      <c r="C15" s="3" t="s">
        <v>730</v>
      </c>
    </row>
  </sheetData>
  <autoFilter ref="A4:C15"/>
  <mergeCells count="2">
    <mergeCell ref="A1:C1"/>
    <mergeCell ref="A2:C2"/>
  </mergeCells>
  <hyperlinks>
    <hyperlink ref="C5" r:id="rId1"/>
    <hyperlink ref="C6" r:id="rId2" location="offline-mode"/>
    <hyperlink ref="C7" r:id="rId3"/>
    <hyperlink ref="C8" r:id="rId4"/>
    <hyperlink ref="C9" r:id="rId5"/>
    <hyperlink ref="C10" r:id="rId6"/>
  </hyperlinks>
  <pageMargins left="0.7" right="0.7" top="0.75" bottom="0.75" header="0.3" footer="0.3"/>
  <pageSetup fitToHeight="0" orientation="landscape"/>
  <headerFooter>
    <oddFooter>Factory Relay | Updated 21 October 2026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Start Here</vt:lpstr>
      <vt:lpstr>Current Status</vt:lpstr>
      <vt:lpstr>Team</vt:lpstr>
      <vt:lpstr>Backlog</vt:lpstr>
      <vt:lpstr>Story Details</vt:lpstr>
      <vt:lpstr>Tasks</vt:lpstr>
      <vt:lpstr>Sprints</vt:lpstr>
      <vt:lpstr>Checklists</vt:lpstr>
      <vt:lpstr>Course Evidence</vt:lpstr>
      <vt:lpstr>Literature</vt:lpstr>
      <vt:lpstr>Search Log</vt:lpstr>
      <vt:lpstr>Evaluation</vt:lpstr>
      <vt:lpstr>Risks</vt:lpstr>
      <vt:lpstr>References</vt:lpstr>
      <vt:lpstr>Members</vt:lpstr>
      <vt:lpstr>'Start Here'!Print_Area</vt:lpstr>
      <vt:lpstr>Team!Print_Area</vt:lpstr>
      <vt:lpstr>Backlog!Print_Titles</vt:lpstr>
      <vt:lpstr>Checklists!Print_Titles</vt:lpstr>
      <vt:lpstr>'Course Evidence'!Print_Titles</vt:lpstr>
      <vt:lpstr>'Current Status'!Print_Titles</vt:lpstr>
      <vt:lpstr>Evaluation!Print_Titles</vt:lpstr>
      <vt:lpstr>Literature!Print_Titles</vt:lpstr>
      <vt:lpstr>References!Print_Titles</vt:lpstr>
      <vt:lpstr>Risks!Print_Titles</vt:lpstr>
      <vt:lpstr>'Search Log'!Print_Titles</vt:lpstr>
      <vt:lpstr>Sprints!Print_Titles</vt:lpstr>
      <vt:lpstr>'Story Details'!Print_Titles</vt:lpstr>
      <vt:lpstr>Tasks!Print_Titles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Factory Relay team backlog</dc:title>
  <dc:subject>Three-member self-selection Scrum plan</dc:subject>
  <dc:creator/>
  <cp:lastModifiedBy/>
  <dcterms:created xsi:type="dcterms:W3CDTF">2026-10-21T04:01:46Z</dcterms:created>
  <dcterms:modified xsi:type="dcterms:W3CDTF">2026-10-21T04:01:46Z</dcterms:modified>
</cp:coreProperties>
</file>